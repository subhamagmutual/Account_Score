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 Summary" sheetId="1" state="visible" r:id="rId3"/>
    <sheet name="Required Columns" sheetId="2" state="visible" r:id="rId4"/>
    <sheet name="Scored Variables" sheetId="3" state="visible" r:id="rId5"/>
    <sheet name="Recommended Adds" sheetId="4" state="visible" r:id="rId6"/>
    <sheet name="External Data" sheetId="5" state="visible" r:id="rId7"/>
    <sheet name="Validation R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<sst xmlns="http://schemas.openxmlformats.org/spreadsheetml/2006/main" count="534" uniqueCount="425">
  <si>
    <t xml:space="preserve">PAS input file — specification</t>
  </si>
  <si>
    <t xml:space="preserve">What the harness expects, and four decisions that need making before the next production run.</t>
  </si>
  <si>
    <t xml:space="preserve">1. GRAIN — needs confirming before anything else</t>
  </si>
  <si>
    <t xml:space="preserve">The code assumes ONE ROW PER PHYSICIAN PER COVERAGE YEAR, uniquely keyed by (NPI or RISK_CISID) x COVERAGE_YEAR, with POLICY_NUMBER_TRIMMED as the policy the physician sat on that year.</t>
  </si>
  <si>
    <t xml:space="preserve">The design workbook's own record counts do not clearly support that. Summing its state tier sheet gives ~169,700 rows across 2017-2024, i.e. ~21,200 per year. The deck states 40,000+ insured physicians, which at physician-year grain would be ~320,000 rows. The file is roughly half that.</t>
  </si>
  <si>
    <t xml:space="preserve">Two readings are consistent with the evidence. (a) Grain IS physician-year, with ~21,200 individuals in force per year and ~40,000 unique across eight years — plausible, since median tenure with MAG is 7 years. (b) Grain is policy-year, with RISK_COUNT (median 14, max 566) physicians per row — in which case it is not physician-level scoring at all, and AGE_IMPUTED or RVU_RATIO cannot be meaningful on a row covering 14 people.</t>
  </si>
  <si>
    <t xml:space="preserve">Run this to settle it in 30 seconds:</t>
  </si>
  <si>
    <t xml:space="preserve">df.groupby(["RISK_CISID","COVERAGE_YEAR"]).size().value_counts().head()</t>
  </si>
  <si>
    <t xml:space="preserve">All 1s means physician-year grain and you are fine. Anything else means duplicates, and every premium-weighted mean in the model is wrong because the same physician is counted more than once.</t>
  </si>
  <si>
    <t xml:space="preserve">MIXED GRAIN INSIDE A SINGLE ROW — a real design issue</t>
  </si>
  <si>
    <t xml:space="preserve">Premium (WRTN_PREM_AMT_ITD_BURNED, median $7,181) looks allocated to the individual. But TOP_PER_M, TOP_AGG_M and RISK_COUNT are POLICY attributes denormalised onto every physician's row. The whole Capacity component — 25% of the composite — is therefore a property of the physician's GROUP, not of the physician. Every doctor on a 200-physician policy receives an identical Capacity score, and a high RISK_COUNT pushes all of them toward 'worse' for an aggregation exposure none of them individually creates. Decide whether that belongs in an individual score or in a separate group-level score.</t>
  </si>
  <si>
    <t xml:space="preserve">2. HOW MUCH HISTORY</t>
  </si>
  <si>
    <t xml:space="preserve">Purpose</t>
  </si>
  <si>
    <t xml:space="preserve">Minimum</t>
  </si>
  <si>
    <t xml:space="preserve">Recommended</t>
  </si>
  <si>
    <t xml:space="preserve">Why</t>
  </si>
  <si>
    <t xml:space="preserve">Experience features (loss cost, frequency, loss-free years)</t>
  </si>
  <si>
    <t xml:space="preserve">5 years</t>
  </si>
  <si>
    <t xml:space="preserve">10 years, recency-weighted</t>
  </si>
  <si>
    <t xml:space="preserve">MPL frequency is ~0.07 claims per physician-year. Five years gives a median physician 0.35 expected claims — nowhere near credible. More history is the only way to get signal from individual experience.</t>
  </si>
  <si>
    <t xml:space="preserve">Class/tier calibration (specialty, state)</t>
  </si>
  <si>
    <t xml:space="preserve">10+ years</t>
  </si>
  <si>
    <t xml:space="preserve">Rare high-severity specialties need volume. Neurosurgery has ~2,100 records across eight years in this book.</t>
  </si>
  <si>
    <t xml:space="preserve">Out-of-time validation</t>
  </si>
  <si>
    <t xml:space="preserve">6 years</t>
  </si>
  <si>
    <t xml:space="preserve">10 years so the test window can be mature</t>
  </si>
  <si>
    <t xml:space="preserve">CRITICAL: do not validate on green years. 2023-24 losses are badly under-developed, so testing on them biases toward 'no signal' — losses simply have not emerged yet. Either use developed/ultimate losses (the workbook already applies CapeCod development) or lag the test window to years at least 3-4 years mature.</t>
  </si>
  <si>
    <t xml:space="preserve">Severity trend and tort-change effects</t>
  </si>
  <si>
    <t xml:space="preserve">8 years</t>
  </si>
  <si>
    <t xml:space="preserve">15 years</t>
  </si>
  <si>
    <t xml:space="preserve">Georgia SB 68/69 took effect April 2025. A tier fitted on 2017-24 predates it entirely.</t>
  </si>
  <si>
    <t xml:space="preserve">Also required: report date AND accident date on every claim. These are claims-made policies, so report-year and accident-year views differ materially and the score must be built on a consistent basis.</t>
  </si>
  <si>
    <t xml:space="preserve">3. MAGMUTUAL DATA OR ALL US PHYSICIANS? — both, for different jobs</t>
  </si>
  <si>
    <t xml:space="preserve">Dataset</t>
  </si>
  <si>
    <t xml:space="preserve">Population</t>
  </si>
  <si>
    <t xml:space="preserve">Grain</t>
  </si>
  <si>
    <t xml:space="preserve">Why it must be this population</t>
  </si>
  <si>
    <t xml:space="preserve">Scored population
(the input file)</t>
  </si>
  <si>
    <t xml:space="preserve">MagMutual Physician MPL insureds only</t>
  </si>
  <si>
    <t xml:space="preserve">physician x coverage year</t>
  </si>
  <si>
    <t xml:space="preserve">You can only score who you insure or quote. This is what the harness reads.</t>
  </si>
  <si>
    <t xml:space="preserve">Reference universe
(peer benchmarks)</t>
  </si>
  <si>
    <t xml:space="preserve">All active US physicians in your appetite states and specialties — roughly 1.1M MDs/DOs nationally, or ~150-250k if scoped to your footprint</t>
  </si>
  <si>
    <t xml:space="preserve">physician (NPI), refreshed annually</t>
  </si>
  <si>
    <t xml:space="preserve">THIS IS THE ONE MOST LIKELY TO BE WRONG TODAY. RVU_WORK_TOTAL_RATIO_SPEC_OL divides a physician's work RVUs by 'their specialty average'. If that average is computed on MagMutual's book, it is your own selection bias, not a peer norm — and it shifts every year as your mix changes. Compute it on national CMS data. Same for practice-size percentiles.</t>
  </si>
  <si>
    <t xml:space="preserve">Credibility complement</t>
  </si>
  <si>
    <t xml:space="preserve">Industry or national specialty x state expected loss cost</t>
  </si>
  <si>
    <t xml:space="preserve">specialty x state x year</t>
  </si>
  <si>
    <t xml:space="preserve">The current complement is a flat portfolio score of 5. A neurosurgeon in Philadelphia and a dermatologist in Macon should not both regress toward the same value.</t>
  </si>
  <si>
    <t xml:space="preserve">Prospect / submission data</t>
  </si>
  <si>
    <t xml:space="preserve">Any physician you might quote, insured or not</t>
  </si>
  <si>
    <t xml:space="preserve">physician (NPI)</t>
  </si>
  <si>
    <t xml:space="preserve">To score new business you need external attributes on physicians you have never covered. This is why NPI coverage across the whole universe matters, not just your book.</t>
  </si>
  <si>
    <t xml:space="preserve">Hospital data: you need CMS attributes for every hospital your insureds are affiliated with, not only those with a MagMutual relationship. Hospital Rating is currently null on 59% of records, and 'no affiliation captured' is being conflated with 'office-based practice'. Those are different risks.</t>
  </si>
  <si>
    <t xml:space="preserve">4. ATTRIBUTES — see the other sheets</t>
  </si>
  <si>
    <t xml:space="preserve">Required Columns: 7 keys the harness cannot run without.  Scored Variables: the 26 the model currently uses.  Recommended Additions: 18 gaps, ranked by value.  External Reference Data: NPI-joinable sources.  Validation Rules: gates to run at ingest.</t>
  </si>
  <si>
    <t xml:space="preserve">Required columns</t>
  </si>
  <si>
    <t xml:space="preserve">The harness raises a BLOCKER or refuses to run without these. Names are configurable via column_map.json — what matters is that the CONTENT exists.</t>
  </si>
  <si>
    <t xml:space="preserve">Column (default name)</t>
  </si>
  <si>
    <t xml:space="preserve">Role</t>
  </si>
  <si>
    <t xml:space="preserve">Type</t>
  </si>
  <si>
    <t xml:space="preserve">Nullable</t>
  </si>
  <si>
    <t xml:space="preserve">Definition</t>
  </si>
  <si>
    <t xml:space="preserve">Source</t>
  </si>
  <si>
    <t xml:space="preserve">Validation</t>
  </si>
  <si>
    <t xml:space="preserve">RISK_CISID</t>
  </si>
  <si>
    <t xml:space="preserve">Physician key</t>
  </si>
  <si>
    <t xml:space="preserve">int/str</t>
  </si>
  <si>
    <t xml:space="preserve">No</t>
  </si>
  <si>
    <t xml:space="preserve">Stable identifier for the individual physician across years.</t>
  </si>
  <si>
    <t xml:space="preserve">Oasis / magstage.dm_policy_pv (risk_cisid)</t>
  </si>
  <si>
    <t xml:space="preserve">Unique with COVERAGE_YEAR. No nulls.</t>
  </si>
  <si>
    <t xml:space="preserve">NPI</t>
  </si>
  <si>
    <t xml:space="preserve">External join key</t>
  </si>
  <si>
    <t xml:space="preserve">10-digit str</t>
  </si>
  <si>
    <t xml:space="preserve">National Provider Identifier. The spine for every external source.</t>
  </si>
  <si>
    <t xml:space="preserve">Oasis; validate against NPPES</t>
  </si>
  <si>
    <t xml:space="preserve">10 digits, Luhn check, present on &gt;99% of rows. You confirmed near-complete coverage — this unblocks all external enrichment.</t>
  </si>
  <si>
    <t xml:space="preserve">COVERAGE_YEAR</t>
  </si>
  <si>
    <t xml:space="preserve">Time key</t>
  </si>
  <si>
    <t xml:space="preserve">int</t>
  </si>
  <si>
    <t xml:space="preserve">Policy or coverage year the row describes.</t>
  </si>
  <si>
    <t xml:space="preserve">Derived from policy effective date</t>
  </si>
  <si>
    <t xml:space="preserve">Contiguous range. Flag any year with &lt;1% of total rows as immature.</t>
  </si>
  <si>
    <t xml:space="preserve">POLICY_NUMBER_TRIMMED</t>
  </si>
  <si>
    <t xml:space="preserve">Policy key</t>
  </si>
  <si>
    <t xml:space="preserve">str</t>
  </si>
  <si>
    <t xml:space="preserve">Policy the physician sat on that year.</t>
  </si>
  <si>
    <t xml:space="preserve">magstage.dm_policy_pv (policy_number_trimmed)</t>
  </si>
  <si>
    <t xml:space="preserve">Not null. Many physicians to one policy is expected.</t>
  </si>
  <si>
    <t xml:space="preserve">AMT_GROSS_RPTD_TOTAL_TRENDED</t>
  </si>
  <si>
    <t xml:space="preserve">TARGET numerator</t>
  </si>
  <si>
    <t xml:space="preserve">float</t>
  </si>
  <si>
    <t xml:space="preserve">No (0 allowed)</t>
  </si>
  <si>
    <t xml:space="preserve">Gross reported losses, indemnity + expense, trended and developed. Must be ACTUAL losses.</t>
  </si>
  <si>
    <t xml:space="preserve">DHC / Snowflake claims pipeline</t>
  </si>
  <si>
    <t xml:space="preserve">Zero for ~93% of rows. If it is rarely zero, it is not actual loss — the adequacy_reality check exists for exactly this.</t>
  </si>
  <si>
    <t xml:space="preserve">WRTN_PREM_AMT_ITD_BURNED_CLASS_OL</t>
  </si>
  <si>
    <t xml:space="preserve">Exposure denominator (loss_ratio)</t>
  </si>
  <si>
    <t xml:space="preserve">Written premium, burned, class on-levelled.</t>
  </si>
  <si>
    <t xml:space="preserve">magstage.dm_policy_pv (wrtn_prem_amt_itd) + on-levelling</t>
  </si>
  <si>
    <t xml:space="preserve">&gt; 0. Rows at or below zero are dropped.</t>
  </si>
  <si>
    <t xml:space="preserve">BCE_ST_GROSS_RPTD_TOTAL_TRENDED_BURNED</t>
  </si>
  <si>
    <t xml:space="preserve">Exposure denominator (loss_cost)</t>
  </si>
  <si>
    <t xml:space="preserve">BCE-state exposure, trended, developed, ILF-capped. Rate-INDEPENDENT.</t>
  </si>
  <si>
    <t xml:space="preserve">Actuarial exposure build</t>
  </si>
  <si>
    <t xml:space="preserve">&gt; 0. Required to run --target loss_cost, which is how you test whether lift survives without the circular tiers.</t>
  </si>
  <si>
    <t xml:space="preserve">CNT_GROSS_RPTD_TOTAL_GT_0</t>
  </si>
  <si>
    <t xml:space="preserve">Claim count</t>
  </si>
  <si>
    <t xml:space="preserve">Count of claims with gross reported total above zero.</t>
  </si>
  <si>
    <t xml:space="preserve">magstage.claims_data_mart</t>
  </si>
  <si>
    <t xml:space="preserve">~93% zeros expected. Drives the burn-factor detection.</t>
  </si>
  <si>
    <t xml:space="preserve">PAS_COMPOSITE_SCORE</t>
  </si>
  <si>
    <t xml:space="preserve">Model output</t>
  </si>
  <si>
    <t xml:space="preserve">float 1-10</t>
  </si>
  <si>
    <t xml:space="preserve">The composite score being validated.</t>
  </si>
  <si>
    <t xml:space="preserve">PAS scoring pipeline</t>
  </si>
  <si>
    <t xml:space="preserve">Between 1 and 10. Check dispersion — if 90% sit in bands 4-5 the score cannot differentiate the book.</t>
  </si>
  <si>
    <t xml:space="preserve">CREDIBILITY_Z</t>
  </si>
  <si>
    <t xml:space="preserve">Credibility factor</t>
  </si>
  <si>
    <t xml:space="preserve">float 0-1</t>
  </si>
  <si>
    <t xml:space="preserve">Yes</t>
  </si>
  <si>
    <t xml:space="preserve">Credibility weight applied to Adequacy sub-scores.</t>
  </si>
  <si>
    <t xml:space="preserve">0 to 1. Needed to reconcile reason codes when sub-scores are persisted PRE-blend.</t>
  </si>
  <si>
    <t xml:space="preserve">Also expected: PAS_ADEQUACY_SCORE, PAS_CAPACITY_SCORE, PAS_APPETITE_SCORE, PAS_ENVIRONMENT_SCORE. Absent, component-level diagnostics are skipped but the run continues.</t>
  </si>
  <si>
    <t xml:space="preserve">The 26 scored variables</t>
  </si>
  <si>
    <t xml:space="preserve">Each needs a raw driver column AND its 1-10 score column. The deck describes 23; the design workbook's composite formula uses a different set including Premium Volume, Excess/Primary and Physician Age. Both are listed so the harness can report which actually exist.</t>
  </si>
  <si>
    <t xml:space="preserve">Variable</t>
  </si>
  <si>
    <t xml:space="preserve">Component</t>
  </si>
  <si>
    <t xml:space="preserve">Weight</t>
  </si>
  <si>
    <t xml:space="preserve">Raw column</t>
  </si>
  <si>
    <t xml:space="preserve">Score column</t>
  </si>
  <si>
    <t xml:space="preserve">Grain of the raw value</t>
  </si>
  <si>
    <t xml:space="preserve">Known issue</t>
  </si>
  <si>
    <t xml:space="preserve">total_loss_cost</t>
  </si>
  <si>
    <t xml:space="preserve">Adequacy</t>
  </si>
  <si>
    <t xml:space="preserve">ULT_Total_LOSS_COST_PER_BCE</t>
  </si>
  <si>
    <t xml:space="preserve">SCORE_TOTAL_LOSS_COST</t>
  </si>
  <si>
    <t xml:space="preserve">physician-year</t>
  </si>
  <si>
    <t xml:space="preserve">indemnity_loss_cost</t>
  </si>
  <si>
    <t xml:space="preserve">ULT_Indemnity_LOSS_COST_PER_BCE</t>
  </si>
  <si>
    <t xml:space="preserve">SCORE_INDEMNITY_LOSS_COST</t>
  </si>
  <si>
    <t xml:space="preserve">Shares a denominator with total_loss_cost — expect high VIF.</t>
  </si>
  <si>
    <t xml:space="preserve">expense_loss_cost</t>
  </si>
  <si>
    <t xml:space="preserve">ULT_Expense_LOSS_COST_PER_BCE</t>
  </si>
  <si>
    <t xml:space="preserve">SCORE_EXPENSE_LOSS_COST</t>
  </si>
  <si>
    <t xml:space="preserve">Same denominator again.</t>
  </si>
  <si>
    <t xml:space="preserve">total_frequency</t>
  </si>
  <si>
    <t xml:space="preserve">ULT_Total_FREQUENCY_PER_FTE</t>
  </si>
  <si>
    <t xml:space="preserve">SCORE_TOTAL_FREQUENCY</t>
  </si>
  <si>
    <t xml:space="preserve">Documented median 0.955 with no zeros, while 93% of physicians are claim-free. Not a frequency. Confirm what this column holds.</t>
  </si>
  <si>
    <t xml:space="preserve">indemnity_frequency</t>
  </si>
  <si>
    <t xml:space="preserve">ULT_Indemnity_FREQUENCY_PER_FTE</t>
  </si>
  <si>
    <t xml:space="preserve">SCORE_INDEMNITY_FREQUENCY</t>
  </si>
  <si>
    <t xml:space="preserve">As above.</t>
  </si>
  <si>
    <t xml:space="preserve">total_severity</t>
  </si>
  <si>
    <t xml:space="preserve">ULT_Total_SEVERITY</t>
  </si>
  <si>
    <t xml:space="preserve">SCORE_TOTAL_SEVERITY</t>
  </si>
  <si>
    <t xml:space="preserve">Only defined where claims exist, so null for ~93%.</t>
  </si>
  <si>
    <t xml:space="preserve">actual_loss_ratio</t>
  </si>
  <si>
    <t xml:space="preserve">ULT_ACTUAL_LOSS_RATIO_BURNED</t>
  </si>
  <si>
    <t xml:space="preserve">SCORE_ACTUAL_LOSS_RATIO</t>
  </si>
  <si>
    <t xml:space="preserve">Documented as BCE_ST_..._BURNED / BCE_ST — both sides are EXPOSURE columns, so this is a burn factor, not loss over premium.</t>
  </si>
  <si>
    <t xml:space="preserve">loss_free_years</t>
  </si>
  <si>
    <t xml:space="preserve">CV_LOSS_FREE_YEARS</t>
  </si>
  <si>
    <t xml:space="preserve">SCORE_LOSS_FREE_YEARS</t>
  </si>
  <si>
    <t xml:space="preserve">physician</t>
  </si>
  <si>
    <t xml:space="preserve">-99 sentinel for unknown, and the documented bins map '0 or negative' to 10. Missing data is scored as your worst risk.</t>
  </si>
  <si>
    <t xml:space="preserve">limits_to_premium</t>
  </si>
  <si>
    <t xml:space="preserve">LIMITS_TO_PREMIUM_RATIO</t>
  </si>
  <si>
    <t xml:space="preserve">SCORE_LIMITS_TO_PREMIUM</t>
  </si>
  <si>
    <t xml:space="preserve">MIXED — policy limit / physician premium</t>
  </si>
  <si>
    <t xml:space="preserve">Numerator is policy-level, denominator physician-level.</t>
  </si>
  <si>
    <t xml:space="preserve">premium_volume</t>
  </si>
  <si>
    <t xml:space="preserve">WRTN_PREM_AMT_ITD_BURNED</t>
  </si>
  <si>
    <t xml:space="preserve">SCORE_PREMIUM_VOLUME</t>
  </si>
  <si>
    <t xml:space="preserve">Scores SIZE as QUALITY — bigger accounts score better by construction. Also duplicates the premium-based credibility Z.</t>
  </si>
  <si>
    <t xml:space="preserve">excess_primary</t>
  </si>
  <si>
    <t xml:space="preserve">ATT_PER_M</t>
  </si>
  <si>
    <t xml:space="preserve">SCORE_EXCESS_PRIMARY</t>
  </si>
  <si>
    <t xml:space="preserve">policy</t>
  </si>
  <si>
    <t xml:space="preserve">97% primary, so 3% of the book carries this variable.</t>
  </si>
  <si>
    <t xml:space="preserve">per_occ_limit</t>
  </si>
  <si>
    <t xml:space="preserve">Capacity</t>
  </si>
  <si>
    <t xml:space="preserve">TOP_PER_M</t>
  </si>
  <si>
    <t xml:space="preserve">SCORE_PER_OCC_LIMIT</t>
  </si>
  <si>
    <t xml:space="preserve">POLICY</t>
  </si>
  <si>
    <t xml:space="preserve">77% of policies sit at exactly $1M. Cannot differentiate three-quarters of the book, on the largest single Capacity weight.</t>
  </si>
  <si>
    <t xml:space="preserve">aggregate_limit</t>
  </si>
  <si>
    <t xml:space="preserve">TOP_AGG_M</t>
  </si>
  <si>
    <t xml:space="preserve">SCORE_AGGREGATE_LIMIT</t>
  </si>
  <si>
    <t xml:space="preserve">Heavily concentrated at $3M.</t>
  </si>
  <si>
    <t xml:space="preserve">risk_count</t>
  </si>
  <si>
    <t xml:space="preserve">RISK_COUNT</t>
  </si>
  <si>
    <t xml:space="preserve">SCORE_RISK_COUNT</t>
  </si>
  <si>
    <t xml:space="preserve">Group aggregation exposure charged to each individual physician.</t>
  </si>
  <si>
    <t xml:space="preserve">specialty_tier</t>
  </si>
  <si>
    <t xml:space="preserve">Appetite</t>
  </si>
  <si>
    <t xml:space="preserve">OL_RISK_SPECIALTY_DESC</t>
  </si>
  <si>
    <t xml:space="preserve">SCORE_SPECIALTY_TIER</t>
  </si>
  <si>
    <t xml:space="preserve">TIER CUT ON PORTFOLIO LOSS RATIO. Measures your rate adequacy, not risk. Re-tier on loss cost per exposure.</t>
  </si>
  <si>
    <t xml:space="preserve">state_venue</t>
  </si>
  <si>
    <t xml:space="preserve">ST</t>
  </si>
  <si>
    <t xml:space="preserve">SCORE_STATE_VENUE</t>
  </si>
  <si>
    <t xml:space="preserve">Same circularity. Also state-level only — no county or venue granularity — and predates Georgia SB 68/69.</t>
  </si>
  <si>
    <t xml:space="preserve">years_since_grad</t>
  </si>
  <si>
    <t xml:space="preserve">YEARS_SINCE_GRAD_IMPUTED</t>
  </si>
  <si>
    <t xml:space="preserve">SCORE_YEARS_SINCE_GRAD</t>
  </si>
  <si>
    <t xml:space="preserve">Range -5 to 96. Imputed. Hand-crafted U-shape needs empirical support.</t>
  </si>
  <si>
    <t xml:space="preserve">rvu_ratio</t>
  </si>
  <si>
    <t xml:space="preserve">RVU_WORK_TOTAL_RATIO_SPEC_OL</t>
  </si>
  <si>
    <t xml:space="preserve">SCORE_RVU_RATIO</t>
  </si>
  <si>
    <t xml:space="preserve">24% null. 'Specialty average' must come from NATIONAL CMS data, not MagMutual's book, or it is your own selection bias.</t>
  </si>
  <si>
    <t xml:space="preserve">tenure</t>
  </si>
  <si>
    <t xml:space="preserve">CV_YEARS_WITH_MAG</t>
  </si>
  <si>
    <t xml:space="preserve">SCORE_TENURE</t>
  </si>
  <si>
    <t xml:space="preserve">hospital_rating</t>
  </si>
  <si>
    <t xml:space="preserve">HOSP_HOSPITALCOMPARE_OVERALLRATING</t>
  </si>
  <si>
    <t xml:space="preserve">SCORE_HOSPITAL_RATING</t>
  </si>
  <si>
    <t xml:space="preserve">hospital</t>
  </si>
  <si>
    <t xml:space="preserve">59% null. Five star values spread over ten bands. PSI-90 and the HCAHPS doctor-communication item are closer to malpractice causation.</t>
  </si>
  <si>
    <t xml:space="preserve">practice_size</t>
  </si>
  <si>
    <t xml:space="preserve">WITH_WHOM_LOCATION_DISTINCT_NPI</t>
  </si>
  <si>
    <t xml:space="preserve">SCORE_PRACTICE_SIZE</t>
  </si>
  <si>
    <t xml:space="preserve">practice location</t>
  </si>
  <si>
    <t xml:space="preserve">14% null.</t>
  </si>
  <si>
    <t xml:space="preserve">physician_age</t>
  </si>
  <si>
    <t xml:space="preserve">AGE_IMPUTED</t>
  </si>
  <si>
    <t xml:space="preserve">SCORE_PHYSICIAN_AGE</t>
  </si>
  <si>
    <t xml:space="preserve">r~0.95 with years_since_grad. Range 22-123. Workbook flags the double-count itself.</t>
  </si>
  <si>
    <t xml:space="preserve">income_inequality</t>
  </si>
  <si>
    <t xml:space="preserve">Environment</t>
  </si>
  <si>
    <t xml:space="preserve">INCOME_RATIO</t>
  </si>
  <si>
    <t xml:space="preserve">SCORE_INCOME_INEQUALITY</t>
  </si>
  <si>
    <t xml:space="preserve">county</t>
  </si>
  <si>
    <t xml:space="preserve">Socioeconomic proxy. If PAS ever touches price, this is a disparate-impact question.</t>
  </si>
  <si>
    <t xml:space="preserve">pop_density</t>
  </si>
  <si>
    <t xml:space="preserve">POP_DENSITY_SQ_MILES</t>
  </si>
  <si>
    <t xml:space="preserve">SCORE_POP_DENSITY</t>
  </si>
  <si>
    <t xml:space="preserve">violent_crime</t>
  </si>
  <si>
    <t xml:space="preserve">VIOLENT_CRIME_RATE_PER_100K</t>
  </si>
  <si>
    <t xml:space="preserve">SCORE_VIOLENT_CRIME</t>
  </si>
  <si>
    <t xml:space="preserve">Carried over from the Property PAS. Not an MPL driver — venue litigiousness is.</t>
  </si>
  <si>
    <t xml:space="preserve">pct_uninsured</t>
  </si>
  <si>
    <t xml:space="preserve">PCT_UNINSURED</t>
  </si>
  <si>
    <t xml:space="preserve">SCORE_PCT_UNINSURED</t>
  </si>
  <si>
    <t xml:space="preserve">Sum of weights</t>
  </si>
  <si>
    <t xml:space="preserve">Exceeds 1.00 because deck-only and workbook-only members are both listed. Weights are normalised within each component at runtime.</t>
  </si>
  <si>
    <t xml:space="preserve">Recommended additions</t>
  </si>
  <si>
    <t xml:space="preserve">Ranked by expected value. Items 1-4 are internal, cost nothing to obtain, and are absent from the current 23.</t>
  </si>
  <si>
    <t xml:space="preserve">#</t>
  </si>
  <si>
    <t xml:space="preserve">Attribute</t>
  </si>
  <si>
    <t xml:space="preserve">Why it matters</t>
  </si>
  <si>
    <t xml:space="preserve">Risk-management hotline call count and topic</t>
  </si>
  <si>
    <t xml:space="preserve">Your PARS analogue and probably the single best variable available to you. Thirty years of Vanderbilt research shows unsolicited patient complaints predict future claims INDEPENDENT of clinical volume, with ~3% of clinicians driving a disproportionate share. No competitor can buy this.</t>
  </si>
  <si>
    <t xml:space="preserve">MagMutual risk-management / hotline system</t>
  </si>
  <si>
    <t xml:space="preserve">Claim allegation and injury code</t>
  </si>
  <si>
    <t xml:space="preserve">claim</t>
  </si>
  <si>
    <t xml:space="preserve">'Failure to diagnose' is the #1 category and your own deck cites it, yet no allegation feature exists. Diagnosis vs procedure vs medication vs consent vs communication behave very differently.</t>
  </si>
  <si>
    <t xml:space="preserve">magstage.claims_data_mart (injury code)</t>
  </si>
  <si>
    <t xml:space="preserve">APP supervision count (NPs/PAs supervised)</t>
  </si>
  <si>
    <t xml:space="preserve">Major vicarious-liability exposure, entirely absent from the model.</t>
  </si>
  <si>
    <t xml:space="preserve">Underwriting application / roster</t>
  </si>
  <si>
    <t xml:space="preserve">Suit-filed flag, county of filing, disposition</t>
  </si>
  <si>
    <t xml:space="preserve">Enables a real venue feature at county level and separates claims that became suits from those that did not.</t>
  </si>
  <si>
    <t xml:space="preserve">Claims system</t>
  </si>
  <si>
    <t xml:space="preserve">High-risk procedure indicators</t>
  </si>
  <si>
    <t xml:space="preserve">OB deliveries and C-section rate, spine, bariatric, cosmetic, interventional. Specialty tier at 25% is doing work that procedure mix should do. Megan's sheet flags exactly this: one radiology code cannot separate surgical from non-surgical.</t>
  </si>
  <si>
    <t xml:space="preserve">HCPCS mix from CMS; internal application</t>
  </si>
  <si>
    <t xml:space="preserve">Application credentialing answers</t>
  </si>
  <si>
    <t xml:space="preserve">Prior discipline, privilege restrictions, prior claims, substance issues. Already collected, never scored.</t>
  </si>
  <si>
    <t xml:space="preserve">Underwriting application</t>
  </si>
  <si>
    <t xml:space="preserve">Board certification status and lapse</t>
  </si>
  <si>
    <t xml:space="preserve">Standard credentialing signal, absent here.</t>
  </si>
  <si>
    <t xml:space="preserve">ABMS / NPPES</t>
  </si>
  <si>
    <t xml:space="preserve">Prior carrier and prior-carrier loss runs</t>
  </si>
  <si>
    <t xml:space="preserve">The only loss experience available for new business, which is where Adequacy is otherwise empty.</t>
  </si>
  <si>
    <t xml:space="preserve">Submission documents</t>
  </si>
  <si>
    <t xml:space="preserve">Recency-weighted prior claim count</t>
  </si>
  <si>
    <t xml:space="preserve">NEJM/Studdert 2016 showed prior paid claims strongly predict recurrence. Loss-free years is a crude proxy — a decayed count is far stronger.</t>
  </si>
  <si>
    <t xml:space="preserve">Derived from claims</t>
  </si>
  <si>
    <t xml:space="preserve">County / ZIP of practice location</t>
  </si>
  <si>
    <t xml:space="preserve">State-level venue is too coarse. Fulton County is not Georgia.</t>
  </si>
  <si>
    <t xml:space="preserve">Oasis address</t>
  </si>
  <si>
    <t xml:space="preserve">Tort-law feature table with effective dates</t>
  </si>
  <si>
    <t xml:space="preserve">state x date</t>
  </si>
  <si>
    <t xml:space="preserve">Caps and whether struck down, certificate of merit, pre-suit panels, statute of repose, joint and several, collateral source, PCF. Georgia SB 68/69 took effect April 2025 and a 2017-24 fit misses it entirely.</t>
  </si>
  <si>
    <t xml:space="preserve">Build and maintain internally</t>
  </si>
  <si>
    <t xml:space="preserve">Plaintiff-bar density</t>
  </si>
  <si>
    <t xml:space="preserve">county-year</t>
  </si>
  <si>
    <t xml:space="preserve">A direct litigiousness measure, far better than violent crime rate.</t>
  </si>
  <si>
    <t xml:space="preserve">Census County Business Patterns, NAICS 5411</t>
  </si>
  <si>
    <t xml:space="preserve">Incident and near-miss reports</t>
  </si>
  <si>
    <t xml:space="preserve">Precedes claims. Earliest available signal.</t>
  </si>
  <si>
    <t xml:space="preserve">Risk-management system</t>
  </si>
  <si>
    <t xml:space="preserve">Part-time / FTE status, locum, telemedicine, multi-state</t>
  </si>
  <si>
    <t xml:space="preserve">Exposure normalisation and distinct risk profiles.</t>
  </si>
  <si>
    <t xml:space="preserve">Policy administration</t>
  </si>
  <si>
    <t xml:space="preserve">Retro date, claims-made year, tail/DDR issued</t>
  </si>
  <si>
    <t xml:space="preserve">Latent exposure. Retro date appears in the candidate list but not the final 23.</t>
  </si>
  <si>
    <t xml:space="preserve">Coverage gaps and carrier-switching frequency</t>
  </si>
  <si>
    <t xml:space="preserve">Churn signal, cheap to derive.</t>
  </si>
  <si>
    <t xml:space="preserve">Derived from policy history</t>
  </si>
  <si>
    <t xml:space="preserve">Rate adequacy — bound premium vs actuarial indication</t>
  </si>
  <si>
    <t xml:space="preserve">In your own candidate list as High priority, then dropped. The honest way to measure pricing adequacy without the loss-ratio circularity.</t>
  </si>
  <si>
    <t xml:space="preserve">Pricing tool / data_share.psl_model_summary</t>
  </si>
  <si>
    <t xml:space="preserve">Risk-management CME and survey participation</t>
  </si>
  <si>
    <t xml:space="preserve">A mitigating factor. Also gives underwriters something actionable to recommend.</t>
  </si>
  <si>
    <t xml:space="preserve">External reference data, joinable on NPI</t>
  </si>
  <si>
    <t xml:space="preserve">You confirmed NPI is populated on nearly all risks, so all of this is reachable. Pull for the NATIONAL universe in your appetite footprint, not only your insureds — peer benchmarks computed on your own book are selection bias.</t>
  </si>
  <si>
    <t xml:space="preserve">Cost</t>
  </si>
  <si>
    <t xml:space="preserve">Key fields</t>
  </si>
  <si>
    <t xml:space="preserve">Use in PAS</t>
  </si>
  <si>
    <t xml:space="preserve">Join key</t>
  </si>
  <si>
    <t xml:space="preserve">CMS Medicare Physician &amp; Other Practitioners — by Provider</t>
  </si>
  <si>
    <t xml:space="preserve">Free</t>
  </si>
  <si>
    <t xml:space="preserve">NPI x year</t>
  </si>
  <si>
    <t xml:space="preserve">Total services, unique beneficiaries, allowed and standardised payments, beneficiary mean age, MEAN HCC RISK SCORE, chronic-condition prevalence</t>
  </si>
  <si>
    <t xml:space="preserve">Patient acuity and true volume. Lets you compute frequency per encounter instead of per FTE — a much better denominator. Also the correct source for the national specialty RVU average.</t>
  </si>
  <si>
    <t xml:space="preserve">CMS same dataset — by Provider and Service</t>
  </si>
  <si>
    <t xml:space="preserve">NPI x HCPCS x year</t>
  </si>
  <si>
    <t xml:space="preserve">Procedure-level volumes</t>
  </si>
  <si>
    <t xml:space="preserve">Procedure risk mix. Fills the surgical vs non-surgical gap Megan flagged.</t>
  </si>
  <si>
    <t xml:space="preserve">CMS Open Payments</t>
  </si>
  <si>
    <t xml:space="preserve">Industry general, research and ownership payments</t>
  </si>
  <si>
    <t xml:space="preserve">Published association with higher PARS complaint scores — framed as two expressions of the same physician phenotype.</t>
  </si>
  <si>
    <t xml:space="preserve">CMS Care Compare — Doctors and Clinicians</t>
  </si>
  <si>
    <t xml:space="preserve">Specialty, graduation year, medical school, group and hospital affiliation, MIPS scores</t>
  </si>
  <si>
    <t xml:space="preserve">Fills AGE/YEARS_SINCE_GRAD rather than imputing, and gives the affiliation graph.</t>
  </si>
  <si>
    <t xml:space="preserve">CMS Hospital Compare / Care Compare</t>
  </si>
  <si>
    <t xml:space="preserve">CCN (hospital)</t>
  </si>
  <si>
    <t xml:space="preserve">Star rating, PSI-90 patient safety composite, HCAHPS communication, HAI, readmissions, mortality</t>
  </si>
  <si>
    <t xml:space="preserve">PSI-90 and the HCAHPS doctor-communication item are closer to malpractice causation than the overall star rating currently used.</t>
  </si>
  <si>
    <t xml:space="preserve">CCN via affiliation</t>
  </si>
  <si>
    <t xml:space="preserve">CMS Part D Prescriber</t>
  </si>
  <si>
    <t xml:space="preserve">Opioid and benzodiazepine prescribing rates, antibiotic patterns</t>
  </si>
  <si>
    <t xml:space="preserve">Documented liability exposure, absent from the model.</t>
  </si>
  <si>
    <t xml:space="preserve">NPPES / NPI Registry</t>
  </si>
  <si>
    <t xml:space="preserve">All taxonomy codes, enumeration date, practice locations, deactivations</t>
  </si>
  <si>
    <t xml:space="preserve">Validates NPI, gives sub-specialty detail beyond one specialty code.</t>
  </si>
  <si>
    <t xml:space="preserve">Census ACS + County Business Patterns</t>
  </si>
  <si>
    <t xml:space="preserve">County</t>
  </si>
  <si>
    <t xml:space="preserve">Income, inequality, uninsured rate, density; NAICS 5411 legal-services establishments per capita</t>
  </si>
  <si>
    <t xml:space="preserve">Replaces violent crime rate with plaintiff-bar density — an actual litigiousness measure.</t>
  </si>
  <si>
    <t xml:space="preserve">County FIPS</t>
  </si>
  <si>
    <t xml:space="preserve">HRSA HPSA / RUCA</t>
  </si>
  <si>
    <t xml:space="preserve">County / tract</t>
  </si>
  <si>
    <t xml:space="preserve">Shortage designations, rurality, provider-to-population ratios</t>
  </si>
  <si>
    <t xml:space="preserve">Access strain drives volume and handoff risk.</t>
  </si>
  <si>
    <t xml:space="preserve">OIG LEIE exclusions</t>
  </si>
  <si>
    <t xml:space="preserve">NPI / name</t>
  </si>
  <si>
    <t xml:space="preserve">Medicare/Medicaid exclusion actions</t>
  </si>
  <si>
    <t xml:space="preserve">Hard adverse-action signal.</t>
  </si>
  <si>
    <t xml:space="preserve">NPDB Public Use File</t>
  </si>
  <si>
    <t xml:space="preserve">STATE ONLY — de-identified</t>
  </si>
  <si>
    <t xml:space="preserve">Malpractice payments, adverse actions, by state</t>
  </si>
  <si>
    <t xml:space="preserve">BENCHMARKING ONLY. Federal law forbids using it alone or combined with other data to identify a practitioner. Never a physician-level feature. Whether MagMutual qualifies as an authorised querier for identified data is a legal question — 'health plans' are listed, an MPL carrier arguably is not.</t>
  </si>
  <si>
    <t xml:space="preserve">n/a</t>
  </si>
  <si>
    <t xml:space="preserve">Court-docket monitoring (UniCourt, Trellis, Docket Alarm)</t>
  </si>
  <si>
    <t xml:space="preserve">Paid</t>
  </si>
  <si>
    <t xml:space="preserve">Case</t>
  </si>
  <si>
    <t xml:space="preserve">New MPL filings naming your insureds</t>
  </si>
  <si>
    <t xml:space="preserve">Highest operational value per dollar: you learn about suits before the insured reports them. Useful independent of the score.</t>
  </si>
  <si>
    <t xml:space="preserve">Name / NPI match</t>
  </si>
  <si>
    <t xml:space="preserve">Litigation analytics (Westlaw, Lex Machina)</t>
  </si>
  <si>
    <t xml:space="preserve">County / case</t>
  </si>
  <si>
    <t xml:space="preserve">Verdict history, time to disposition</t>
  </si>
  <si>
    <t xml:space="preserve">County venue index. You already have CoCounsel connected.</t>
  </si>
  <si>
    <t xml:space="preserve">Definitive Healthcare / IQVIA</t>
  </si>
  <si>
    <t xml:space="preserve">All-payer procedure volumes, full affiliation graph</t>
  </si>
  <si>
    <t xml:space="preserve">Medicare-only volume badly understates surgeons and paediatricians.</t>
  </si>
  <si>
    <t xml:space="preserve">Continuous monitoring (Verisys, ProviderTrust)</t>
  </si>
  <si>
    <t xml:space="preserve">State board disciplinary actions, license status, sanctions</t>
  </si>
  <si>
    <t xml:space="preserve">State board discipline is a documented predictor and is absent today.</t>
  </si>
  <si>
    <t xml:space="preserve">Ingest validation rules</t>
  </si>
  <si>
    <t xml:space="preserve">Run these before scoring, not after. Each maps to a check in the harness.</t>
  </si>
  <si>
    <t xml:space="preserve">Rule</t>
  </si>
  <si>
    <t xml:space="preserve">Threshold</t>
  </si>
  <si>
    <t xml:space="preserve">If it fails</t>
  </si>
  <si>
    <t xml:space="preserve">Harness check</t>
  </si>
  <si>
    <t xml:space="preserve">Grain is unique on (RISK_CISID, COVERAGE_YEAR)</t>
  </si>
  <si>
    <t xml:space="preserve">100% of rows</t>
  </si>
  <si>
    <t xml:space="preserve">Every premium-weighted mean is wrong — physicians counted more than once.</t>
  </si>
  <si>
    <t xml:space="preserve">manual; add to ingest</t>
  </si>
  <si>
    <t xml:space="preserve">NPI present and 10 digits</t>
  </si>
  <si>
    <t xml:space="preserve">&gt;99%</t>
  </si>
  <si>
    <t xml:space="preserve">External enrichment silently drops those rows.</t>
  </si>
  <si>
    <t xml:space="preserve">check_schema</t>
  </si>
  <si>
    <t xml:space="preserve">Claim count is zero for the great majority</t>
  </si>
  <si>
    <t xml:space="preserve">~93% zeros</t>
  </si>
  <si>
    <t xml:space="preserve">If not, the loss columns are not actual losses.</t>
  </si>
  <si>
    <t xml:space="preserve">check_adequacy_is_experience</t>
  </si>
  <si>
    <t xml:space="preserve">Every loss-experience variable is zero-inflated to a similar degree</t>
  </si>
  <si>
    <t xml:space="preserve">zero share &gt;20%</t>
  </si>
  <si>
    <t xml:space="preserve">The variable is a burn or on-level factor, not experience.</t>
  </si>
  <si>
    <t xml:space="preserve">Sentinel values converted to NaN before binning</t>
  </si>
  <si>
    <t xml:space="preserve">zero sentinels scored</t>
  </si>
  <si>
    <t xml:space="preserve">Unknown data is scored as your worst risk.</t>
  </si>
  <si>
    <t xml:space="preserve">check_data_quality</t>
  </si>
  <si>
    <t xml:space="preserve">Exposure strictly positive</t>
  </si>
  <si>
    <t xml:space="preserve">100% after filter</t>
  </si>
  <si>
    <t xml:space="preserve">Rows are silently dropped; if all are, the run aborts.</t>
  </si>
  <si>
    <t xml:space="preserve">prepare()</t>
  </si>
  <si>
    <t xml:space="preserve">AGE within 24-85, YEARS_SINCE_GRAD within 0-60</t>
  </si>
  <si>
    <t xml:space="preserve">&gt;99.5%</t>
  </si>
  <si>
    <t xml:space="preserve">Age 123 and -5 years since graduation are in the current data.</t>
  </si>
  <si>
    <t xml:space="preserve">Composite score within 1-10 and reasonably dispersed</t>
  </si>
  <si>
    <t xml:space="preserve">std dev &gt;1.0; bands 4-5 under 60%</t>
  </si>
  <si>
    <t xml:space="preserve">The score cannot differentiate the book; portfolio band targets cannot bind.</t>
  </si>
  <si>
    <t xml:space="preserve">reasons.dispersion</t>
  </si>
  <si>
    <t xml:space="preserve">Attribution reconciles to the published composite</t>
  </si>
  <si>
    <t xml:space="preserve">residual &lt;0.5</t>
  </si>
  <si>
    <t xml:space="preserve">Reason codes describe a different model than the one that scored the physician.</t>
  </si>
  <si>
    <t xml:space="preserve">reasons.reconciliation</t>
  </si>
  <si>
    <t xml:space="preserve">No variable derived from the target</t>
  </si>
  <si>
    <t xml:space="preserve">zero circular variables</t>
  </si>
  <si>
    <t xml:space="preserve">Lift is invalid, not merely weak.</t>
  </si>
  <si>
    <t xml:space="preserve">check_circularity</t>
  </si>
  <si>
    <t xml:space="preserve">Coverage years contiguous and maturity documented</t>
  </si>
  <si>
    <t xml:space="preserve">manual review</t>
  </si>
  <si>
    <t xml:space="preserve">Validating on green years biases toward finding no signal.</t>
  </si>
  <si>
    <t xml:space="preserve">check_composite_lift</t>
  </si>
  <si>
    <t xml:space="preserve">Distributions within tolerance of the design workbook</t>
  </si>
  <si>
    <t xml:space="preserve">within 25%</t>
  </si>
  <si>
    <t xml:space="preserve">Either the data moved or the documentation is stale. Reconcile before any UW review.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</si>
</sst>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ds" displayName="Adds" ref="A4:E22" headerRowCount="1" totalsRowCount="0" totalsRowShown="0">
  <autoFilter ref="A4:E22"/>
  <tableColumns count="5">
    <tableColumn id="1" name="#"/>
    <tableColumn id="2" name="Attribute"/>
    <tableColumn id="3" name="Grain"/>
    <tableColumn id="4" name="Why it matters"/>
    <tableColumn id="5" name="Source"/>
  </tableColumns>
</table>
</file>

<file path=xl/tables/table2.xml><?xml version="1.0" encoding="utf-8"?>
<table xmlns="http://schemas.openxmlformats.org/spreadsheetml/2006/main" id="2" name="Ext" displayName="Ext" ref="A4:F19" headerRowCount="1" totalsRowCount="0" totalsRowShown="0">
  <autoFilter ref="A4:F19"/>
  <tableColumns count="6">
    <tableColumn id="1" name="Source"/>
    <tableColumn id="2" name="Cost"/>
    <tableColumn id="3" name="Grain"/>
    <tableColumn id="4" name="Key fields"/>
    <tableColumn id="5" name="Use in PAS"/>
    <tableColumn id="6" name="Join key"/>
  </tableColumns>
</table>
</file>

<file path=xl/tables/table3.xml><?xml version="1.0" encoding="utf-8"?>
<table xmlns="http://schemas.openxmlformats.org/spreadsheetml/2006/main" id="3" name="History" displayName="History" ref="A16:D20" headerRowCount="1" totalsRowCount="0" totalsRowShown="0">
  <autoFilter ref="A16:D20"/>
  <tableColumns count="4">
    <tableColumn id="1" name="Purpose"/>
    <tableColumn id="2" name="Minimum"/>
    <tableColumn id="3" name="Recommended"/>
    <tableColumn id="4" name="Why"/>
  </tableColumns>
</table>
</file>

<file path=xl/tables/table4.xml><?xml version="1.0" encoding="utf-8"?>
<table xmlns="http://schemas.openxmlformats.org/spreadsheetml/2006/main" id="4" name="Populations" displayName="Populations" ref="A25:D29" headerRowCount="1" totalsRowCount="0" totalsRowShown="0">
  <autoFilter ref="A25:D29"/>
  <tableColumns count="4">
    <tableColumn id="1" name="Dataset"/>
    <tableColumn id="2" name="Population"/>
    <tableColumn id="3" name="Grain"/>
    <tableColumn id="4" name="Why it must be this population"/>
  </tableColumns>
</table>
</file>

<file path=xl/tables/table5.xml><?xml version="1.0" encoding="utf-8"?>
<table xmlns="http://schemas.openxmlformats.org/spreadsheetml/2006/main" id="5" name="ReqCols" displayName="ReqCols" ref="A4:G14" headerRowCount="1" totalsRowCount="0" totalsRowShown="0">
  <autoFilter ref="A4:G14"/>
  <tableColumns count="7">
    <tableColumn id="1" name="Column (default name)"/>
    <tableColumn id="2" name="Role"/>
    <tableColumn id="3" name="Type"/>
    <tableColumn id="4" name="Nullable"/>
    <tableColumn id="5" name="Definition"/>
    <tableColumn id="6" name="Source"/>
    <tableColumn id="7" name="Validation"/>
  </tableColumns>
</table>
</file>

<file path=xl/tables/table6.xml><?xml version="1.0" encoding="utf-8"?>
<table xmlns="http://schemas.openxmlformats.org/spreadsheetml/2006/main" id="6" name="Rules" displayName="Rules" ref="A4:E16" headerRowCount="1" totalsRowCount="0" totalsRowShown="0">
  <autoFilter ref="A4:E16"/>
  <tableColumns count="5">
    <tableColumn id="1" name="#"/>
    <tableColumn id="2" name="Rule"/>
    <tableColumn id="3" name="Threshold"/>
    <tableColumn id="4" name="If it fails"/>
    <tableColumn id="5" name="Harness check"/>
  </tableColumns>
</table>
</file>

<file path=xl/tables/table7.xml><?xml version="1.0" encoding="utf-8"?>
<table xmlns="http://schemas.openxmlformats.org/spreadsheetml/2006/main" id="7" name="ScoredVars" displayName="ScoredVars" ref="A4:G30" headerRowCount="1" totalsRowCount="0" totalsRowShown="0">
  <autoFilter ref="A4:G30"/>
  <tableColumns count="7">
    <tableColumn id="1" name="Variable"/>
    <tableColumn id="2" name="Component"/>
    <tableColumn id="3" name="Weight"/>
    <tableColumn id="4" name="Raw column"/>
    <tableColumn id="5" name="Score column"/>
    <tableColumn id="6" name="Grain of the raw value"/>
    <tableColumn id="7" name="Known iss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76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43.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57.75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6" t="s">
        <v>7</v>
      </c>
      <c r="B9" s="6"/>
      <c r="C9" s="6"/>
      <c r="D9" s="6"/>
      <c r="E9" s="6"/>
      <c r="F9" s="6"/>
      <c r="G9" s="6"/>
      <c r="H9" s="6"/>
    </row>
    <row r="10" customFormat="false" ht="31.5" hidden="false" customHeight="true" outlineLevel="0" collapsed="false">
      <c r="A10" s="5" t="s">
        <v>8</v>
      </c>
      <c r="B10" s="5"/>
      <c r="C10" s="5"/>
      <c r="D10" s="5"/>
      <c r="E10" s="5"/>
      <c r="F10" s="5"/>
      <c r="G10" s="5"/>
      <c r="H10" s="5"/>
    </row>
    <row r="12" customFormat="false" ht="15" hidden="false" customHeight="tru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  <row r="13" customFormat="false" ht="73.5" hidden="false" customHeight="true" outlineLevel="0" collapsed="false">
      <c r="A13" s="5" t="s">
        <v>10</v>
      </c>
      <c r="B13" s="5"/>
      <c r="C13" s="5"/>
      <c r="D13" s="5"/>
      <c r="E13" s="5"/>
      <c r="F13" s="5"/>
      <c r="G13" s="5"/>
      <c r="H13" s="5"/>
    </row>
    <row r="15" customFormat="false" ht="15" hidden="false" customHeight="true" outlineLevel="0" collapsed="false">
      <c r="A15" s="3" t="s">
        <v>11</v>
      </c>
      <c r="B15" s="3"/>
      <c r="C15" s="3"/>
      <c r="D15" s="3"/>
      <c r="E15" s="3"/>
      <c r="F15" s="3"/>
      <c r="G15" s="3"/>
      <c r="H15" s="3"/>
    </row>
    <row r="16" customFormat="false" ht="30" hidden="false" customHeight="true" outlineLevel="0" collapsed="false">
      <c r="A16" s="7" t="s">
        <v>12</v>
      </c>
      <c r="B16" s="7" t="s">
        <v>13</v>
      </c>
      <c r="C16" s="7" t="s">
        <v>14</v>
      </c>
      <c r="D16" s="7" t="s">
        <v>15</v>
      </c>
    </row>
    <row r="17" customFormat="false" ht="61.5" hidden="false" customHeight="true" outlineLevel="0" collapsed="false">
      <c r="A17" s="8" t="s">
        <v>16</v>
      </c>
      <c r="B17" s="9" t="s">
        <v>17</v>
      </c>
      <c r="C17" s="8" t="s">
        <v>18</v>
      </c>
      <c r="D17" s="8" t="s">
        <v>19</v>
      </c>
    </row>
    <row r="18" customFormat="false" ht="61.5" hidden="false" customHeight="true" outlineLevel="0" collapsed="false">
      <c r="A18" s="8" t="s">
        <v>20</v>
      </c>
      <c r="B18" s="9" t="s">
        <v>17</v>
      </c>
      <c r="C18" s="8" t="s">
        <v>21</v>
      </c>
      <c r="D18" s="8" t="s">
        <v>22</v>
      </c>
    </row>
    <row r="19" customFormat="false" ht="61.5" hidden="false" customHeight="true" outlineLevel="0" collapsed="false">
      <c r="A19" s="8" t="s">
        <v>23</v>
      </c>
      <c r="B19" s="9" t="s">
        <v>24</v>
      </c>
      <c r="C19" s="8" t="s">
        <v>25</v>
      </c>
      <c r="D19" s="8" t="s">
        <v>26</v>
      </c>
    </row>
    <row r="20" customFormat="false" ht="61.5" hidden="false" customHeight="true" outlineLevel="0" collapsed="false">
      <c r="A20" s="8" t="s">
        <v>27</v>
      </c>
      <c r="B20" s="9" t="s">
        <v>28</v>
      </c>
      <c r="C20" s="8" t="s">
        <v>29</v>
      </c>
      <c r="D20" s="8" t="s">
        <v>30</v>
      </c>
    </row>
    <row r="22" customFormat="false" ht="31.5" hidden="false" customHeight="true" outlineLevel="0" collapsed="false">
      <c r="A22" s="5" t="s">
        <v>31</v>
      </c>
      <c r="B22" s="5"/>
      <c r="C22" s="5"/>
      <c r="D22" s="5"/>
      <c r="E22" s="5"/>
      <c r="F22" s="5"/>
      <c r="G22" s="5"/>
      <c r="H22" s="5"/>
    </row>
    <row r="24" customFormat="false" ht="15" hidden="false" customHeight="true" outlineLevel="0" collapsed="false">
      <c r="A24" s="3" t="s">
        <v>32</v>
      </c>
      <c r="B24" s="3"/>
      <c r="C24" s="3"/>
      <c r="D24" s="3"/>
      <c r="E24" s="3"/>
      <c r="F24" s="3"/>
      <c r="G24" s="3"/>
      <c r="H24" s="3"/>
    </row>
    <row r="25" customFormat="false" ht="30" hidden="false" customHeight="true" outlineLevel="0" collapsed="false">
      <c r="A25" s="7" t="s">
        <v>33</v>
      </c>
      <c r="B25" s="7" t="s">
        <v>34</v>
      </c>
      <c r="C25" s="7" t="s">
        <v>35</v>
      </c>
      <c r="D25" s="7" t="s">
        <v>36</v>
      </c>
    </row>
    <row r="26" customFormat="false" ht="87.75" hidden="false" customHeight="true" outlineLevel="0" collapsed="false">
      <c r="A26" s="8" t="s">
        <v>37</v>
      </c>
      <c r="B26" s="8" t="s">
        <v>38</v>
      </c>
      <c r="C26" s="8" t="s">
        <v>39</v>
      </c>
      <c r="D26" s="8" t="s">
        <v>40</v>
      </c>
    </row>
    <row r="27" customFormat="false" ht="87.75" hidden="false" customHeight="true" outlineLevel="0" collapsed="false">
      <c r="A27" s="10" t="s">
        <v>41</v>
      </c>
      <c r="B27" s="10" t="s">
        <v>42</v>
      </c>
      <c r="C27" s="10" t="s">
        <v>43</v>
      </c>
      <c r="D27" s="10" t="s">
        <v>44</v>
      </c>
    </row>
    <row r="28" customFormat="false" ht="87.75" hidden="false" customHeight="true" outlineLevel="0" collapsed="false">
      <c r="A28" s="9" t="s">
        <v>45</v>
      </c>
      <c r="B28" s="8" t="s">
        <v>46</v>
      </c>
      <c r="C28" s="8" t="s">
        <v>47</v>
      </c>
      <c r="D28" s="8" t="s">
        <v>48</v>
      </c>
    </row>
    <row r="29" customFormat="false" ht="87.75" hidden="false" customHeight="true" outlineLevel="0" collapsed="false">
      <c r="A29" s="9" t="s">
        <v>49</v>
      </c>
      <c r="B29" s="8" t="s">
        <v>50</v>
      </c>
      <c r="C29" s="8" t="s">
        <v>51</v>
      </c>
      <c r="D29" s="8" t="s">
        <v>52</v>
      </c>
    </row>
    <row r="31" customFormat="false" ht="43.5" hidden="false" customHeight="true" outlineLevel="0" collapsed="false">
      <c r="A31" s="5" t="s">
        <v>53</v>
      </c>
      <c r="B31" s="5"/>
      <c r="C31" s="5"/>
      <c r="D31" s="5"/>
      <c r="E31" s="5"/>
      <c r="F31" s="5"/>
      <c r="G31" s="5"/>
      <c r="H31" s="5"/>
    </row>
    <row r="33" customFormat="false" ht="15" hidden="false" customHeight="true" outlineLevel="0" collapsed="false">
      <c r="A33" s="3" t="s">
        <v>54</v>
      </c>
      <c r="B33" s="3"/>
      <c r="C33" s="3"/>
      <c r="D33" s="3"/>
      <c r="E33" s="3"/>
      <c r="F33" s="3"/>
      <c r="G33" s="3"/>
      <c r="H33" s="3"/>
    </row>
    <row r="34" customFormat="false" ht="31.5" hidden="false" customHeight="true" outlineLevel="0" collapsed="false">
      <c r="A34" s="5" t="s">
        <v>55</v>
      </c>
      <c r="B34" s="5"/>
      <c r="C34" s="5"/>
      <c r="D34" s="5"/>
      <c r="E34" s="5"/>
      <c r="F34" s="5"/>
      <c r="G34" s="5"/>
      <c r="H34" s="5"/>
    </row>
  </sheetData>
  <mergeCells count="16">
    <mergeCell ref="A2:H2"/>
    <mergeCell ref="A4:H4"/>
    <mergeCell ref="A5:H5"/>
    <mergeCell ref="A6:H6"/>
    <mergeCell ref="A7:H7"/>
    <mergeCell ref="A8:H8"/>
    <mergeCell ref="A9:H9"/>
    <mergeCell ref="A10:H10"/>
    <mergeCell ref="A12:H12"/>
    <mergeCell ref="A13:H13"/>
    <mergeCell ref="A15:H15"/>
    <mergeCell ref="A22:H22"/>
    <mergeCell ref="A24:H24"/>
    <mergeCell ref="A31:H31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52"/>
  </cols>
  <sheetData>
    <row r="1" customFormat="false" ht="21.75" hidden="false" customHeight="true" outlineLevel="0" collapsed="false">
      <c r="A1" s="1" t="s">
        <v>56</v>
      </c>
    </row>
    <row r="2" customFormat="false" ht="30" hidden="false" customHeight="true" outlineLevel="0" collapsed="false">
      <c r="A2" s="2" t="s">
        <v>57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58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</row>
    <row r="5" customFormat="false" ht="61.5" hidden="false" customHeight="true" outlineLevel="0" collapsed="false">
      <c r="A5" s="11" t="s">
        <v>65</v>
      </c>
      <c r="B5" s="11" t="s">
        <v>66</v>
      </c>
      <c r="C5" s="11" t="s">
        <v>67</v>
      </c>
      <c r="D5" s="11" t="s">
        <v>68</v>
      </c>
      <c r="E5" s="12" t="s">
        <v>69</v>
      </c>
      <c r="F5" s="12" t="s">
        <v>70</v>
      </c>
      <c r="G5" s="12" t="s">
        <v>71</v>
      </c>
    </row>
    <row r="6" customFormat="false" ht="61.5" hidden="false" customHeight="true" outlineLevel="0" collapsed="false">
      <c r="A6" s="11" t="s">
        <v>72</v>
      </c>
      <c r="B6" s="11" t="s">
        <v>73</v>
      </c>
      <c r="C6" s="11" t="s">
        <v>74</v>
      </c>
      <c r="D6" s="11" t="s">
        <v>68</v>
      </c>
      <c r="E6" s="12" t="s">
        <v>75</v>
      </c>
      <c r="F6" s="12" t="s">
        <v>76</v>
      </c>
      <c r="G6" s="12" t="s">
        <v>77</v>
      </c>
    </row>
    <row r="7" customFormat="false" ht="61.5" hidden="false" customHeight="true" outlineLevel="0" collapsed="false">
      <c r="A7" s="11" t="s">
        <v>78</v>
      </c>
      <c r="B7" s="11" t="s">
        <v>79</v>
      </c>
      <c r="C7" s="11" t="s">
        <v>80</v>
      </c>
      <c r="D7" s="11" t="s">
        <v>68</v>
      </c>
      <c r="E7" s="12" t="s">
        <v>81</v>
      </c>
      <c r="F7" s="12" t="s">
        <v>82</v>
      </c>
      <c r="G7" s="12" t="s">
        <v>83</v>
      </c>
    </row>
    <row r="8" customFormat="false" ht="61.5" hidden="false" customHeight="true" outlineLevel="0" collapsed="false">
      <c r="A8" s="11" t="s">
        <v>84</v>
      </c>
      <c r="B8" s="11" t="s">
        <v>85</v>
      </c>
      <c r="C8" s="11" t="s">
        <v>86</v>
      </c>
      <c r="D8" s="11" t="s">
        <v>68</v>
      </c>
      <c r="E8" s="12" t="s">
        <v>87</v>
      </c>
      <c r="F8" s="12" t="s">
        <v>88</v>
      </c>
      <c r="G8" s="12" t="s">
        <v>89</v>
      </c>
    </row>
    <row r="9" customFormat="false" ht="61.5" hidden="false" customHeight="true" outlineLevel="0" collapsed="false">
      <c r="A9" s="11" t="s">
        <v>90</v>
      </c>
      <c r="B9" s="11" t="s">
        <v>91</v>
      </c>
      <c r="C9" s="11" t="s">
        <v>92</v>
      </c>
      <c r="D9" s="11" t="s">
        <v>93</v>
      </c>
      <c r="E9" s="12" t="s">
        <v>94</v>
      </c>
      <c r="F9" s="12" t="s">
        <v>95</v>
      </c>
      <c r="G9" s="12" t="s">
        <v>96</v>
      </c>
    </row>
    <row r="10" customFormat="false" ht="61.5" hidden="false" customHeight="true" outlineLevel="0" collapsed="false">
      <c r="A10" s="11" t="s">
        <v>97</v>
      </c>
      <c r="B10" s="11" t="s">
        <v>98</v>
      </c>
      <c r="C10" s="11" t="s">
        <v>92</v>
      </c>
      <c r="D10" s="11" t="s">
        <v>68</v>
      </c>
      <c r="E10" s="12" t="s">
        <v>99</v>
      </c>
      <c r="F10" s="12" t="s">
        <v>100</v>
      </c>
      <c r="G10" s="12" t="s">
        <v>101</v>
      </c>
    </row>
    <row r="11" customFormat="false" ht="61.5" hidden="false" customHeight="true" outlineLevel="0" collapsed="false">
      <c r="A11" s="11" t="s">
        <v>102</v>
      </c>
      <c r="B11" s="11" t="s">
        <v>103</v>
      </c>
      <c r="C11" s="11" t="s">
        <v>92</v>
      </c>
      <c r="D11" s="11" t="s">
        <v>68</v>
      </c>
      <c r="E11" s="12" t="s">
        <v>104</v>
      </c>
      <c r="F11" s="12" t="s">
        <v>105</v>
      </c>
      <c r="G11" s="12" t="s">
        <v>106</v>
      </c>
    </row>
    <row r="12" customFormat="false" ht="61.5" hidden="false" customHeight="true" outlineLevel="0" collapsed="false">
      <c r="A12" s="11" t="s">
        <v>107</v>
      </c>
      <c r="B12" s="11" t="s">
        <v>108</v>
      </c>
      <c r="C12" s="11" t="s">
        <v>80</v>
      </c>
      <c r="D12" s="11" t="s">
        <v>93</v>
      </c>
      <c r="E12" s="12" t="s">
        <v>109</v>
      </c>
      <c r="F12" s="12" t="s">
        <v>110</v>
      </c>
      <c r="G12" s="12" t="s">
        <v>111</v>
      </c>
    </row>
    <row r="13" customFormat="false" ht="61.5" hidden="false" customHeight="true" outlineLevel="0" collapsed="false">
      <c r="A13" s="11" t="s">
        <v>112</v>
      </c>
      <c r="B13" s="11" t="s">
        <v>113</v>
      </c>
      <c r="C13" s="11" t="s">
        <v>114</v>
      </c>
      <c r="D13" s="11" t="s">
        <v>68</v>
      </c>
      <c r="E13" s="12" t="s">
        <v>115</v>
      </c>
      <c r="F13" s="12" t="s">
        <v>116</v>
      </c>
      <c r="G13" s="12" t="s">
        <v>117</v>
      </c>
    </row>
    <row r="14" customFormat="false" ht="61.5" hidden="false" customHeight="true" outlineLevel="0" collapsed="false">
      <c r="A14" s="11" t="s">
        <v>118</v>
      </c>
      <c r="B14" s="11" t="s">
        <v>119</v>
      </c>
      <c r="C14" s="11" t="s">
        <v>120</v>
      </c>
      <c r="D14" s="11" t="s">
        <v>121</v>
      </c>
      <c r="E14" s="12" t="s">
        <v>122</v>
      </c>
      <c r="F14" s="12" t="s">
        <v>116</v>
      </c>
      <c r="G14" s="12" t="s">
        <v>123</v>
      </c>
    </row>
    <row r="16" customFormat="false" ht="15" hidden="false" customHeight="true" outlineLevel="0" collapsed="false">
      <c r="A16" s="2" t="s">
        <v>124</v>
      </c>
      <c r="B16" s="2"/>
      <c r="C16" s="2"/>
      <c r="D16" s="2"/>
      <c r="E16" s="2"/>
      <c r="F16" s="2"/>
      <c r="G16" s="2"/>
      <c r="H16" s="2"/>
    </row>
  </sheetData>
  <mergeCells count="2">
    <mergeCell ref="A2:H2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62"/>
  </cols>
  <sheetData>
    <row r="1" customFormat="false" ht="21.75" hidden="false" customHeight="true" outlineLevel="0" collapsed="false">
      <c r="A1" s="1" t="s">
        <v>125</v>
      </c>
    </row>
    <row r="2" customFormat="false" ht="30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127</v>
      </c>
      <c r="B4" s="7" t="s">
        <v>128</v>
      </c>
      <c r="C4" s="7" t="s">
        <v>129</v>
      </c>
      <c r="D4" s="7" t="s">
        <v>130</v>
      </c>
      <c r="E4" s="7" t="s">
        <v>131</v>
      </c>
      <c r="F4" s="7" t="s">
        <v>132</v>
      </c>
      <c r="G4" s="7" t="s">
        <v>133</v>
      </c>
    </row>
    <row r="5" customFormat="false" ht="54" hidden="false" customHeight="true" outlineLevel="0" collapsed="false">
      <c r="A5" s="9" t="s">
        <v>134</v>
      </c>
      <c r="B5" s="9" t="s">
        <v>135</v>
      </c>
      <c r="C5" s="9" t="n">
        <v>0.2</v>
      </c>
      <c r="D5" s="9" t="s">
        <v>136</v>
      </c>
      <c r="E5" s="9" t="s">
        <v>137</v>
      </c>
      <c r="F5" s="8" t="s">
        <v>138</v>
      </c>
      <c r="G5" s="8"/>
    </row>
    <row r="6" customFormat="false" ht="54" hidden="false" customHeight="true" outlineLevel="0" collapsed="false">
      <c r="A6" s="9" t="s">
        <v>139</v>
      </c>
      <c r="B6" s="9" t="s">
        <v>135</v>
      </c>
      <c r="C6" s="9" t="n">
        <v>0.1</v>
      </c>
      <c r="D6" s="9" t="s">
        <v>140</v>
      </c>
      <c r="E6" s="9" t="s">
        <v>141</v>
      </c>
      <c r="F6" s="8" t="s">
        <v>138</v>
      </c>
      <c r="G6" s="8" t="s">
        <v>142</v>
      </c>
    </row>
    <row r="7" customFormat="false" ht="54" hidden="false" customHeight="true" outlineLevel="0" collapsed="false">
      <c r="A7" s="9" t="s">
        <v>143</v>
      </c>
      <c r="B7" s="9" t="s">
        <v>135</v>
      </c>
      <c r="C7" s="9" t="n">
        <v>0.05</v>
      </c>
      <c r="D7" s="9" t="s">
        <v>144</v>
      </c>
      <c r="E7" s="9" t="s">
        <v>145</v>
      </c>
      <c r="F7" s="8" t="s">
        <v>138</v>
      </c>
      <c r="G7" s="8" t="s">
        <v>146</v>
      </c>
    </row>
    <row r="8" customFormat="false" ht="54" hidden="false" customHeight="true" outlineLevel="0" collapsed="false">
      <c r="A8" s="9" t="s">
        <v>147</v>
      </c>
      <c r="B8" s="9" t="s">
        <v>135</v>
      </c>
      <c r="C8" s="9" t="n">
        <v>0.1</v>
      </c>
      <c r="D8" s="9" t="s">
        <v>148</v>
      </c>
      <c r="E8" s="9" t="s">
        <v>149</v>
      </c>
      <c r="F8" s="8" t="s">
        <v>138</v>
      </c>
      <c r="G8" s="8" t="s">
        <v>150</v>
      </c>
    </row>
    <row r="9" customFormat="false" ht="54" hidden="false" customHeight="true" outlineLevel="0" collapsed="false">
      <c r="A9" s="9" t="s">
        <v>151</v>
      </c>
      <c r="B9" s="9" t="s">
        <v>135</v>
      </c>
      <c r="C9" s="9" t="n">
        <v>0.05</v>
      </c>
      <c r="D9" s="9" t="s">
        <v>152</v>
      </c>
      <c r="E9" s="9" t="s">
        <v>153</v>
      </c>
      <c r="F9" s="8" t="s">
        <v>138</v>
      </c>
      <c r="G9" s="8" t="s">
        <v>154</v>
      </c>
    </row>
    <row r="10" customFormat="false" ht="54" hidden="false" customHeight="true" outlineLevel="0" collapsed="false">
      <c r="A10" s="9" t="s">
        <v>155</v>
      </c>
      <c r="B10" s="9" t="s">
        <v>135</v>
      </c>
      <c r="C10" s="9" t="n">
        <v>0.05</v>
      </c>
      <c r="D10" s="9" t="s">
        <v>156</v>
      </c>
      <c r="E10" s="9" t="s">
        <v>157</v>
      </c>
      <c r="F10" s="8" t="s">
        <v>138</v>
      </c>
      <c r="G10" s="8" t="s">
        <v>158</v>
      </c>
    </row>
    <row r="11" customFormat="false" ht="54" hidden="false" customHeight="true" outlineLevel="0" collapsed="false">
      <c r="A11" s="9" t="s">
        <v>159</v>
      </c>
      <c r="B11" s="9" t="s">
        <v>135</v>
      </c>
      <c r="C11" s="9" t="n">
        <v>0.1</v>
      </c>
      <c r="D11" s="9" t="s">
        <v>160</v>
      </c>
      <c r="E11" s="9" t="s">
        <v>161</v>
      </c>
      <c r="F11" s="8" t="s">
        <v>138</v>
      </c>
      <c r="G11" s="8" t="s">
        <v>162</v>
      </c>
    </row>
    <row r="12" customFormat="false" ht="54" hidden="false" customHeight="true" outlineLevel="0" collapsed="false">
      <c r="A12" s="9" t="s">
        <v>163</v>
      </c>
      <c r="B12" s="9" t="s">
        <v>135</v>
      </c>
      <c r="C12" s="9" t="n">
        <v>0.1</v>
      </c>
      <c r="D12" s="9" t="s">
        <v>164</v>
      </c>
      <c r="E12" s="9" t="s">
        <v>165</v>
      </c>
      <c r="F12" s="8" t="s">
        <v>166</v>
      </c>
      <c r="G12" s="8" t="s">
        <v>167</v>
      </c>
    </row>
    <row r="13" customFormat="false" ht="54" hidden="false" customHeight="true" outlineLevel="0" collapsed="false">
      <c r="A13" s="10" t="s">
        <v>168</v>
      </c>
      <c r="B13" s="10" t="s">
        <v>135</v>
      </c>
      <c r="C13" s="10" t="n">
        <v>0.1</v>
      </c>
      <c r="D13" s="10" t="s">
        <v>169</v>
      </c>
      <c r="E13" s="10" t="s">
        <v>170</v>
      </c>
      <c r="F13" s="10" t="s">
        <v>171</v>
      </c>
      <c r="G13" s="10" t="s">
        <v>172</v>
      </c>
    </row>
    <row r="14" customFormat="false" ht="54" hidden="false" customHeight="true" outlineLevel="0" collapsed="false">
      <c r="A14" s="9" t="s">
        <v>173</v>
      </c>
      <c r="B14" s="9" t="s">
        <v>135</v>
      </c>
      <c r="C14" s="9" t="n">
        <v>0.1</v>
      </c>
      <c r="D14" s="9" t="s">
        <v>174</v>
      </c>
      <c r="E14" s="9" t="s">
        <v>175</v>
      </c>
      <c r="F14" s="8" t="s">
        <v>138</v>
      </c>
      <c r="G14" s="8" t="s">
        <v>176</v>
      </c>
    </row>
    <row r="15" customFormat="false" ht="54" hidden="false" customHeight="true" outlineLevel="0" collapsed="false">
      <c r="A15" s="9" t="s">
        <v>177</v>
      </c>
      <c r="B15" s="9" t="s">
        <v>135</v>
      </c>
      <c r="C15" s="9" t="n">
        <v>0.05</v>
      </c>
      <c r="D15" s="9" t="s">
        <v>178</v>
      </c>
      <c r="E15" s="9" t="s">
        <v>179</v>
      </c>
      <c r="F15" s="8" t="s">
        <v>180</v>
      </c>
      <c r="G15" s="8" t="s">
        <v>181</v>
      </c>
    </row>
    <row r="16" customFormat="false" ht="54" hidden="false" customHeight="true" outlineLevel="0" collapsed="false">
      <c r="A16" s="10" t="s">
        <v>182</v>
      </c>
      <c r="B16" s="10" t="s">
        <v>183</v>
      </c>
      <c r="C16" s="10" t="n">
        <v>0.2</v>
      </c>
      <c r="D16" s="10" t="s">
        <v>184</v>
      </c>
      <c r="E16" s="10" t="s">
        <v>185</v>
      </c>
      <c r="F16" s="10" t="s">
        <v>186</v>
      </c>
      <c r="G16" s="10" t="s">
        <v>187</v>
      </c>
    </row>
    <row r="17" customFormat="false" ht="54" hidden="false" customHeight="true" outlineLevel="0" collapsed="false">
      <c r="A17" s="10" t="s">
        <v>188</v>
      </c>
      <c r="B17" s="10" t="s">
        <v>183</v>
      </c>
      <c r="C17" s="10" t="n">
        <v>0.1</v>
      </c>
      <c r="D17" s="10" t="s">
        <v>189</v>
      </c>
      <c r="E17" s="10" t="s">
        <v>190</v>
      </c>
      <c r="F17" s="10" t="s">
        <v>186</v>
      </c>
      <c r="G17" s="10" t="s">
        <v>191</v>
      </c>
    </row>
    <row r="18" customFormat="false" ht="54" hidden="false" customHeight="true" outlineLevel="0" collapsed="false">
      <c r="A18" s="10" t="s">
        <v>192</v>
      </c>
      <c r="B18" s="10" t="s">
        <v>183</v>
      </c>
      <c r="C18" s="10" t="n">
        <v>0.1</v>
      </c>
      <c r="D18" s="10" t="s">
        <v>193</v>
      </c>
      <c r="E18" s="10" t="s">
        <v>194</v>
      </c>
      <c r="F18" s="10" t="s">
        <v>186</v>
      </c>
      <c r="G18" s="10" t="s">
        <v>195</v>
      </c>
    </row>
    <row r="19" customFormat="false" ht="54" hidden="false" customHeight="true" outlineLevel="0" collapsed="false">
      <c r="A19" s="10" t="s">
        <v>196</v>
      </c>
      <c r="B19" s="10" t="s">
        <v>197</v>
      </c>
      <c r="C19" s="10" t="n">
        <v>0.25</v>
      </c>
      <c r="D19" s="10" t="s">
        <v>198</v>
      </c>
      <c r="E19" s="10" t="s">
        <v>199</v>
      </c>
      <c r="F19" s="10" t="s">
        <v>138</v>
      </c>
      <c r="G19" s="10" t="s">
        <v>200</v>
      </c>
    </row>
    <row r="20" customFormat="false" ht="54" hidden="false" customHeight="true" outlineLevel="0" collapsed="false">
      <c r="A20" s="9" t="s">
        <v>201</v>
      </c>
      <c r="B20" s="9" t="s">
        <v>197</v>
      </c>
      <c r="C20" s="9" t="n">
        <v>0.15</v>
      </c>
      <c r="D20" s="9" t="s">
        <v>202</v>
      </c>
      <c r="E20" s="9" t="s">
        <v>203</v>
      </c>
      <c r="F20" s="8" t="s">
        <v>138</v>
      </c>
      <c r="G20" s="8" t="s">
        <v>204</v>
      </c>
    </row>
    <row r="21" customFormat="false" ht="54" hidden="false" customHeight="true" outlineLevel="0" collapsed="false">
      <c r="A21" s="9" t="s">
        <v>205</v>
      </c>
      <c r="B21" s="9" t="s">
        <v>197</v>
      </c>
      <c r="C21" s="9" t="n">
        <v>0.1</v>
      </c>
      <c r="D21" s="9" t="s">
        <v>206</v>
      </c>
      <c r="E21" s="9" t="s">
        <v>207</v>
      </c>
      <c r="F21" s="8" t="s">
        <v>166</v>
      </c>
      <c r="G21" s="8" t="s">
        <v>208</v>
      </c>
    </row>
    <row r="22" customFormat="false" ht="54" hidden="false" customHeight="true" outlineLevel="0" collapsed="false">
      <c r="A22" s="9" t="s">
        <v>209</v>
      </c>
      <c r="B22" s="9" t="s">
        <v>197</v>
      </c>
      <c r="C22" s="9" t="n">
        <v>0.1</v>
      </c>
      <c r="D22" s="9" t="s">
        <v>210</v>
      </c>
      <c r="E22" s="9" t="s">
        <v>211</v>
      </c>
      <c r="F22" s="8" t="s">
        <v>138</v>
      </c>
      <c r="G22" s="8" t="s">
        <v>212</v>
      </c>
    </row>
    <row r="23" customFormat="false" ht="54" hidden="false" customHeight="true" outlineLevel="0" collapsed="false">
      <c r="A23" s="9" t="s">
        <v>213</v>
      </c>
      <c r="B23" s="9" t="s">
        <v>197</v>
      </c>
      <c r="C23" s="9" t="n">
        <v>0.05</v>
      </c>
      <c r="D23" s="9" t="s">
        <v>214</v>
      </c>
      <c r="E23" s="9" t="s">
        <v>215</v>
      </c>
      <c r="F23" s="8" t="s">
        <v>166</v>
      </c>
      <c r="G23" s="8"/>
    </row>
    <row r="24" customFormat="false" ht="54" hidden="false" customHeight="true" outlineLevel="0" collapsed="false">
      <c r="A24" s="9" t="s">
        <v>216</v>
      </c>
      <c r="B24" s="9" t="s">
        <v>197</v>
      </c>
      <c r="C24" s="9" t="n">
        <v>0.05</v>
      </c>
      <c r="D24" s="9" t="s">
        <v>217</v>
      </c>
      <c r="E24" s="9" t="s">
        <v>218</v>
      </c>
      <c r="F24" s="8" t="s">
        <v>219</v>
      </c>
      <c r="G24" s="8" t="s">
        <v>220</v>
      </c>
    </row>
    <row r="25" customFormat="false" ht="54" hidden="false" customHeight="true" outlineLevel="0" collapsed="false">
      <c r="A25" s="9" t="s">
        <v>221</v>
      </c>
      <c r="B25" s="9" t="s">
        <v>197</v>
      </c>
      <c r="C25" s="9" t="n">
        <v>0.05</v>
      </c>
      <c r="D25" s="9" t="s">
        <v>222</v>
      </c>
      <c r="E25" s="9" t="s">
        <v>223</v>
      </c>
      <c r="F25" s="8" t="s">
        <v>224</v>
      </c>
      <c r="G25" s="8" t="s">
        <v>225</v>
      </c>
    </row>
    <row r="26" customFormat="false" ht="54" hidden="false" customHeight="true" outlineLevel="0" collapsed="false">
      <c r="A26" s="9" t="s">
        <v>226</v>
      </c>
      <c r="B26" s="9" t="s">
        <v>197</v>
      </c>
      <c r="C26" s="9" t="n">
        <v>0.07</v>
      </c>
      <c r="D26" s="9" t="s">
        <v>227</v>
      </c>
      <c r="E26" s="9" t="s">
        <v>228</v>
      </c>
      <c r="F26" s="8" t="s">
        <v>166</v>
      </c>
      <c r="G26" s="8" t="s">
        <v>229</v>
      </c>
    </row>
    <row r="27" customFormat="false" ht="54" hidden="false" customHeight="true" outlineLevel="0" collapsed="false">
      <c r="A27" s="9" t="s">
        <v>230</v>
      </c>
      <c r="B27" s="9" t="s">
        <v>231</v>
      </c>
      <c r="C27" s="9" t="n">
        <v>0.05</v>
      </c>
      <c r="D27" s="9" t="s">
        <v>232</v>
      </c>
      <c r="E27" s="9" t="s">
        <v>233</v>
      </c>
      <c r="F27" s="8" t="s">
        <v>234</v>
      </c>
      <c r="G27" s="8" t="s">
        <v>235</v>
      </c>
    </row>
    <row r="28" customFormat="false" ht="54" hidden="false" customHeight="true" outlineLevel="0" collapsed="false">
      <c r="A28" s="9" t="s">
        <v>236</v>
      </c>
      <c r="B28" s="9" t="s">
        <v>231</v>
      </c>
      <c r="C28" s="9" t="n">
        <v>0.05</v>
      </c>
      <c r="D28" s="9" t="s">
        <v>237</v>
      </c>
      <c r="E28" s="9" t="s">
        <v>238</v>
      </c>
      <c r="F28" s="8" t="s">
        <v>234</v>
      </c>
      <c r="G28" s="8" t="s">
        <v>154</v>
      </c>
    </row>
    <row r="29" customFormat="false" ht="54" hidden="false" customHeight="true" outlineLevel="0" collapsed="false">
      <c r="A29" s="9" t="s">
        <v>239</v>
      </c>
      <c r="B29" s="9" t="s">
        <v>231</v>
      </c>
      <c r="C29" s="9" t="n">
        <v>0.03</v>
      </c>
      <c r="D29" s="9" t="s">
        <v>240</v>
      </c>
      <c r="E29" s="9" t="s">
        <v>241</v>
      </c>
      <c r="F29" s="8" t="s">
        <v>234</v>
      </c>
      <c r="G29" s="8" t="s">
        <v>242</v>
      </c>
    </row>
    <row r="30" customFormat="false" ht="54" hidden="false" customHeight="true" outlineLevel="0" collapsed="false">
      <c r="A30" s="9" t="s">
        <v>243</v>
      </c>
      <c r="B30" s="9" t="s">
        <v>231</v>
      </c>
      <c r="C30" s="9" t="n">
        <v>0.02</v>
      </c>
      <c r="D30" s="9" t="s">
        <v>244</v>
      </c>
      <c r="E30" s="9" t="s">
        <v>245</v>
      </c>
      <c r="F30" s="8" t="s">
        <v>234</v>
      </c>
      <c r="G30" s="8" t="s">
        <v>154</v>
      </c>
    </row>
    <row r="31" customFormat="false" ht="15" hidden="false" customHeight="false" outlineLevel="0" collapsed="false">
      <c r="A31" s="13" t="s">
        <v>246</v>
      </c>
      <c r="C31" s="13" t="n">
        <f aca="false">SUM(C5:C30)</f>
        <v>2.37</v>
      </c>
      <c r="D31" s="14" t="s">
        <v>247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74"/>
    <col collapsed="false" customWidth="true" hidden="false" outlineLevel="0" max="5" min="5" style="0" width="32"/>
  </cols>
  <sheetData>
    <row r="1" customFormat="false" ht="21.75" hidden="false" customHeight="true" outlineLevel="0" collapsed="false">
      <c r="A1" s="1" t="s">
        <v>248</v>
      </c>
    </row>
    <row r="2" customFormat="false" ht="30" hidden="false" customHeight="true" outlineLevel="0" collapsed="false">
      <c r="A2" s="2" t="s">
        <v>249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250</v>
      </c>
      <c r="B4" s="7" t="s">
        <v>251</v>
      </c>
      <c r="C4" s="7" t="s">
        <v>35</v>
      </c>
      <c r="D4" s="7" t="s">
        <v>252</v>
      </c>
      <c r="E4" s="7" t="s">
        <v>63</v>
      </c>
    </row>
    <row r="5" customFormat="false" ht="61.5" hidden="false" customHeight="true" outlineLevel="0" collapsed="false">
      <c r="A5" s="15" t="n">
        <v>1</v>
      </c>
      <c r="B5" s="16" t="s">
        <v>253</v>
      </c>
      <c r="C5" s="15" t="s">
        <v>138</v>
      </c>
      <c r="D5" s="16" t="s">
        <v>254</v>
      </c>
      <c r="E5" s="16" t="s">
        <v>255</v>
      </c>
    </row>
    <row r="6" customFormat="false" ht="61.5" hidden="false" customHeight="true" outlineLevel="0" collapsed="false">
      <c r="A6" s="15" t="n">
        <v>2</v>
      </c>
      <c r="B6" s="16" t="s">
        <v>256</v>
      </c>
      <c r="C6" s="15" t="s">
        <v>257</v>
      </c>
      <c r="D6" s="16" t="s">
        <v>258</v>
      </c>
      <c r="E6" s="16" t="s">
        <v>259</v>
      </c>
    </row>
    <row r="7" customFormat="false" ht="61.5" hidden="false" customHeight="true" outlineLevel="0" collapsed="false">
      <c r="A7" s="15" t="n">
        <v>3</v>
      </c>
      <c r="B7" s="16" t="s">
        <v>260</v>
      </c>
      <c r="C7" s="15" t="s">
        <v>138</v>
      </c>
      <c r="D7" s="16" t="s">
        <v>261</v>
      </c>
      <c r="E7" s="16" t="s">
        <v>262</v>
      </c>
    </row>
    <row r="8" customFormat="false" ht="61.5" hidden="false" customHeight="true" outlineLevel="0" collapsed="false">
      <c r="A8" s="15" t="n">
        <v>4</v>
      </c>
      <c r="B8" s="16" t="s">
        <v>263</v>
      </c>
      <c r="C8" s="15" t="s">
        <v>257</v>
      </c>
      <c r="D8" s="16" t="s">
        <v>264</v>
      </c>
      <c r="E8" s="16" t="s">
        <v>265</v>
      </c>
    </row>
    <row r="9" customFormat="false" ht="61.5" hidden="false" customHeight="true" outlineLevel="0" collapsed="false">
      <c r="A9" s="9" t="n">
        <v>5</v>
      </c>
      <c r="B9" s="8" t="s">
        <v>266</v>
      </c>
      <c r="C9" s="9" t="s">
        <v>138</v>
      </c>
      <c r="D9" s="8" t="s">
        <v>267</v>
      </c>
      <c r="E9" s="8" t="s">
        <v>268</v>
      </c>
    </row>
    <row r="10" customFormat="false" ht="61.5" hidden="false" customHeight="true" outlineLevel="0" collapsed="false">
      <c r="A10" s="9" t="n">
        <v>6</v>
      </c>
      <c r="B10" s="8" t="s">
        <v>269</v>
      </c>
      <c r="C10" s="9" t="s">
        <v>138</v>
      </c>
      <c r="D10" s="8" t="s">
        <v>270</v>
      </c>
      <c r="E10" s="8" t="s">
        <v>271</v>
      </c>
    </row>
    <row r="11" customFormat="false" ht="61.5" hidden="false" customHeight="true" outlineLevel="0" collapsed="false">
      <c r="A11" s="9" t="n">
        <v>7</v>
      </c>
      <c r="B11" s="8" t="s">
        <v>272</v>
      </c>
      <c r="C11" s="9" t="s">
        <v>166</v>
      </c>
      <c r="D11" s="8" t="s">
        <v>273</v>
      </c>
      <c r="E11" s="8" t="s">
        <v>274</v>
      </c>
    </row>
    <row r="12" customFormat="false" ht="61.5" hidden="false" customHeight="true" outlineLevel="0" collapsed="false">
      <c r="A12" s="9" t="n">
        <v>8</v>
      </c>
      <c r="B12" s="8" t="s">
        <v>275</v>
      </c>
      <c r="C12" s="9" t="s">
        <v>166</v>
      </c>
      <c r="D12" s="8" t="s">
        <v>276</v>
      </c>
      <c r="E12" s="8" t="s">
        <v>277</v>
      </c>
    </row>
    <row r="13" customFormat="false" ht="61.5" hidden="false" customHeight="true" outlineLevel="0" collapsed="false">
      <c r="A13" s="9" t="n">
        <v>9</v>
      </c>
      <c r="B13" s="8" t="s">
        <v>278</v>
      </c>
      <c r="C13" s="9" t="s">
        <v>138</v>
      </c>
      <c r="D13" s="8" t="s">
        <v>279</v>
      </c>
      <c r="E13" s="8" t="s">
        <v>280</v>
      </c>
    </row>
    <row r="14" customFormat="false" ht="61.5" hidden="false" customHeight="true" outlineLevel="0" collapsed="false">
      <c r="A14" s="9" t="n">
        <v>10</v>
      </c>
      <c r="B14" s="8" t="s">
        <v>281</v>
      </c>
      <c r="C14" s="9" t="s">
        <v>138</v>
      </c>
      <c r="D14" s="8" t="s">
        <v>282</v>
      </c>
      <c r="E14" s="8" t="s">
        <v>283</v>
      </c>
    </row>
    <row r="15" customFormat="false" ht="61.5" hidden="false" customHeight="true" outlineLevel="0" collapsed="false">
      <c r="A15" s="9" t="n">
        <v>11</v>
      </c>
      <c r="B15" s="8" t="s">
        <v>284</v>
      </c>
      <c r="C15" s="9" t="s">
        <v>285</v>
      </c>
      <c r="D15" s="8" t="s">
        <v>286</v>
      </c>
      <c r="E15" s="8" t="s">
        <v>287</v>
      </c>
    </row>
    <row r="16" customFormat="false" ht="61.5" hidden="false" customHeight="true" outlineLevel="0" collapsed="false">
      <c r="A16" s="9" t="n">
        <v>12</v>
      </c>
      <c r="B16" s="8" t="s">
        <v>288</v>
      </c>
      <c r="C16" s="9" t="s">
        <v>289</v>
      </c>
      <c r="D16" s="8" t="s">
        <v>290</v>
      </c>
      <c r="E16" s="8" t="s">
        <v>291</v>
      </c>
    </row>
    <row r="17" customFormat="false" ht="61.5" hidden="false" customHeight="true" outlineLevel="0" collapsed="false">
      <c r="A17" s="9" t="n">
        <v>13</v>
      </c>
      <c r="B17" s="8" t="s">
        <v>292</v>
      </c>
      <c r="C17" s="9" t="s">
        <v>138</v>
      </c>
      <c r="D17" s="8" t="s">
        <v>293</v>
      </c>
      <c r="E17" s="8" t="s">
        <v>294</v>
      </c>
    </row>
    <row r="18" customFormat="false" ht="61.5" hidden="false" customHeight="true" outlineLevel="0" collapsed="false">
      <c r="A18" s="9" t="n">
        <v>14</v>
      </c>
      <c r="B18" s="8" t="s">
        <v>295</v>
      </c>
      <c r="C18" s="9" t="s">
        <v>138</v>
      </c>
      <c r="D18" s="8" t="s">
        <v>296</v>
      </c>
      <c r="E18" s="8" t="s">
        <v>297</v>
      </c>
    </row>
    <row r="19" customFormat="false" ht="61.5" hidden="false" customHeight="true" outlineLevel="0" collapsed="false">
      <c r="A19" s="9" t="n">
        <v>15</v>
      </c>
      <c r="B19" s="8" t="s">
        <v>298</v>
      </c>
      <c r="C19" s="9" t="s">
        <v>180</v>
      </c>
      <c r="D19" s="8" t="s">
        <v>299</v>
      </c>
      <c r="E19" s="8" t="s">
        <v>297</v>
      </c>
    </row>
    <row r="20" customFormat="false" ht="61.5" hidden="false" customHeight="true" outlineLevel="0" collapsed="false">
      <c r="A20" s="9" t="n">
        <v>16</v>
      </c>
      <c r="B20" s="8" t="s">
        <v>300</v>
      </c>
      <c r="C20" s="9" t="s">
        <v>166</v>
      </c>
      <c r="D20" s="8" t="s">
        <v>301</v>
      </c>
      <c r="E20" s="8" t="s">
        <v>302</v>
      </c>
    </row>
    <row r="21" customFormat="false" ht="61.5" hidden="false" customHeight="true" outlineLevel="0" collapsed="false">
      <c r="A21" s="9" t="n">
        <v>17</v>
      </c>
      <c r="B21" s="8" t="s">
        <v>303</v>
      </c>
      <c r="C21" s="9" t="s">
        <v>138</v>
      </c>
      <c r="D21" s="8" t="s">
        <v>304</v>
      </c>
      <c r="E21" s="8" t="s">
        <v>305</v>
      </c>
    </row>
    <row r="22" customFormat="false" ht="61.5" hidden="false" customHeight="true" outlineLevel="0" collapsed="false">
      <c r="A22" s="9" t="n">
        <v>18</v>
      </c>
      <c r="B22" s="8" t="s">
        <v>306</v>
      </c>
      <c r="C22" s="9" t="s">
        <v>138</v>
      </c>
      <c r="D22" s="8" t="s">
        <v>307</v>
      </c>
      <c r="E22" s="8" t="s">
        <v>294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66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308</v>
      </c>
    </row>
    <row r="2" customFormat="false" ht="30" hidden="false" customHeight="true" outlineLevel="0" collapsed="false">
      <c r="A2" s="2" t="s">
        <v>309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63</v>
      </c>
      <c r="B4" s="7" t="s">
        <v>310</v>
      </c>
      <c r="C4" s="7" t="s">
        <v>35</v>
      </c>
      <c r="D4" s="7" t="s">
        <v>311</v>
      </c>
      <c r="E4" s="7" t="s">
        <v>312</v>
      </c>
      <c r="F4" s="7" t="s">
        <v>313</v>
      </c>
    </row>
    <row r="5" customFormat="false" ht="67.5" hidden="false" customHeight="true" outlineLevel="0" collapsed="false">
      <c r="A5" s="9" t="s">
        <v>314</v>
      </c>
      <c r="B5" s="9" t="s">
        <v>315</v>
      </c>
      <c r="C5" s="9" t="s">
        <v>316</v>
      </c>
      <c r="D5" s="8" t="s">
        <v>317</v>
      </c>
      <c r="E5" s="8" t="s">
        <v>318</v>
      </c>
      <c r="F5" s="8" t="s">
        <v>72</v>
      </c>
    </row>
    <row r="6" customFormat="false" ht="67.5" hidden="false" customHeight="true" outlineLevel="0" collapsed="false">
      <c r="A6" s="9" t="s">
        <v>319</v>
      </c>
      <c r="B6" s="9" t="s">
        <v>315</v>
      </c>
      <c r="C6" s="9" t="s">
        <v>320</v>
      </c>
      <c r="D6" s="8" t="s">
        <v>321</v>
      </c>
      <c r="E6" s="8" t="s">
        <v>322</v>
      </c>
      <c r="F6" s="8" t="s">
        <v>72</v>
      </c>
    </row>
    <row r="7" customFormat="false" ht="67.5" hidden="false" customHeight="true" outlineLevel="0" collapsed="false">
      <c r="A7" s="9" t="s">
        <v>323</v>
      </c>
      <c r="B7" s="9" t="s">
        <v>315</v>
      </c>
      <c r="C7" s="9" t="s">
        <v>316</v>
      </c>
      <c r="D7" s="8" t="s">
        <v>324</v>
      </c>
      <c r="E7" s="8" t="s">
        <v>325</v>
      </c>
      <c r="F7" s="8" t="s">
        <v>72</v>
      </c>
    </row>
    <row r="8" customFormat="false" ht="67.5" hidden="false" customHeight="true" outlineLevel="0" collapsed="false">
      <c r="A8" s="9" t="s">
        <v>326</v>
      </c>
      <c r="B8" s="9" t="s">
        <v>315</v>
      </c>
      <c r="C8" s="9" t="s">
        <v>72</v>
      </c>
      <c r="D8" s="8" t="s">
        <v>327</v>
      </c>
      <c r="E8" s="8" t="s">
        <v>328</v>
      </c>
      <c r="F8" s="8" t="s">
        <v>72</v>
      </c>
    </row>
    <row r="9" customFormat="false" ht="67.5" hidden="false" customHeight="true" outlineLevel="0" collapsed="false">
      <c r="A9" s="9" t="s">
        <v>329</v>
      </c>
      <c r="B9" s="9" t="s">
        <v>315</v>
      </c>
      <c r="C9" s="9" t="s">
        <v>330</v>
      </c>
      <c r="D9" s="8" t="s">
        <v>331</v>
      </c>
      <c r="E9" s="8" t="s">
        <v>332</v>
      </c>
      <c r="F9" s="8" t="s">
        <v>333</v>
      </c>
    </row>
    <row r="10" customFormat="false" ht="67.5" hidden="false" customHeight="true" outlineLevel="0" collapsed="false">
      <c r="A10" s="9" t="s">
        <v>334</v>
      </c>
      <c r="B10" s="9" t="s">
        <v>315</v>
      </c>
      <c r="C10" s="9" t="s">
        <v>316</v>
      </c>
      <c r="D10" s="8" t="s">
        <v>335</v>
      </c>
      <c r="E10" s="8" t="s">
        <v>336</v>
      </c>
      <c r="F10" s="8" t="s">
        <v>72</v>
      </c>
    </row>
    <row r="11" customFormat="false" ht="67.5" hidden="false" customHeight="true" outlineLevel="0" collapsed="false">
      <c r="A11" s="9" t="s">
        <v>337</v>
      </c>
      <c r="B11" s="9" t="s">
        <v>315</v>
      </c>
      <c r="C11" s="9" t="s">
        <v>72</v>
      </c>
      <c r="D11" s="8" t="s">
        <v>338</v>
      </c>
      <c r="E11" s="8" t="s">
        <v>339</v>
      </c>
      <c r="F11" s="8" t="s">
        <v>72</v>
      </c>
    </row>
    <row r="12" customFormat="false" ht="67.5" hidden="false" customHeight="true" outlineLevel="0" collapsed="false">
      <c r="A12" s="9" t="s">
        <v>340</v>
      </c>
      <c r="B12" s="9" t="s">
        <v>315</v>
      </c>
      <c r="C12" s="9" t="s">
        <v>341</v>
      </c>
      <c r="D12" s="8" t="s">
        <v>342</v>
      </c>
      <c r="E12" s="8" t="s">
        <v>343</v>
      </c>
      <c r="F12" s="8" t="s">
        <v>344</v>
      </c>
    </row>
    <row r="13" customFormat="false" ht="67.5" hidden="false" customHeight="true" outlineLevel="0" collapsed="false">
      <c r="A13" s="9" t="s">
        <v>345</v>
      </c>
      <c r="B13" s="9" t="s">
        <v>315</v>
      </c>
      <c r="C13" s="9" t="s">
        <v>346</v>
      </c>
      <c r="D13" s="8" t="s">
        <v>347</v>
      </c>
      <c r="E13" s="8" t="s">
        <v>348</v>
      </c>
      <c r="F13" s="8" t="s">
        <v>344</v>
      </c>
    </row>
    <row r="14" customFormat="false" ht="67.5" hidden="false" customHeight="true" outlineLevel="0" collapsed="false">
      <c r="A14" s="9" t="s">
        <v>349</v>
      </c>
      <c r="B14" s="9" t="s">
        <v>315</v>
      </c>
      <c r="C14" s="9" t="s">
        <v>350</v>
      </c>
      <c r="D14" s="8" t="s">
        <v>351</v>
      </c>
      <c r="E14" s="8" t="s">
        <v>352</v>
      </c>
      <c r="F14" s="8" t="s">
        <v>72</v>
      </c>
    </row>
    <row r="15" customFormat="false" ht="67.5" hidden="false" customHeight="true" outlineLevel="0" collapsed="false">
      <c r="A15" s="10" t="s">
        <v>353</v>
      </c>
      <c r="B15" s="10" t="s">
        <v>315</v>
      </c>
      <c r="C15" s="10" t="s">
        <v>354</v>
      </c>
      <c r="D15" s="10" t="s">
        <v>355</v>
      </c>
      <c r="E15" s="10" t="s">
        <v>356</v>
      </c>
      <c r="F15" s="10" t="s">
        <v>357</v>
      </c>
    </row>
    <row r="16" customFormat="false" ht="67.5" hidden="false" customHeight="true" outlineLevel="0" collapsed="false">
      <c r="A16" s="9" t="s">
        <v>358</v>
      </c>
      <c r="B16" s="9" t="s">
        <v>359</v>
      </c>
      <c r="C16" s="9" t="s">
        <v>360</v>
      </c>
      <c r="D16" s="8" t="s">
        <v>361</v>
      </c>
      <c r="E16" s="8" t="s">
        <v>362</v>
      </c>
      <c r="F16" s="8" t="s">
        <v>363</v>
      </c>
    </row>
    <row r="17" customFormat="false" ht="67.5" hidden="false" customHeight="true" outlineLevel="0" collapsed="false">
      <c r="A17" s="9" t="s">
        <v>364</v>
      </c>
      <c r="B17" s="9" t="s">
        <v>359</v>
      </c>
      <c r="C17" s="9" t="s">
        <v>365</v>
      </c>
      <c r="D17" s="8" t="s">
        <v>366</v>
      </c>
      <c r="E17" s="8" t="s">
        <v>367</v>
      </c>
      <c r="F17" s="8" t="s">
        <v>341</v>
      </c>
    </row>
    <row r="18" customFormat="false" ht="67.5" hidden="false" customHeight="true" outlineLevel="0" collapsed="false">
      <c r="A18" s="9" t="s">
        <v>368</v>
      </c>
      <c r="B18" s="9" t="s">
        <v>359</v>
      </c>
      <c r="C18" s="9" t="s">
        <v>72</v>
      </c>
      <c r="D18" s="8" t="s">
        <v>369</v>
      </c>
      <c r="E18" s="8" t="s">
        <v>370</v>
      </c>
      <c r="F18" s="8" t="s">
        <v>72</v>
      </c>
    </row>
    <row r="19" customFormat="false" ht="67.5" hidden="false" customHeight="true" outlineLevel="0" collapsed="false">
      <c r="A19" s="9" t="s">
        <v>371</v>
      </c>
      <c r="B19" s="9" t="s">
        <v>359</v>
      </c>
      <c r="C19" s="9" t="s">
        <v>72</v>
      </c>
      <c r="D19" s="8" t="s">
        <v>372</v>
      </c>
      <c r="E19" s="8" t="s">
        <v>373</v>
      </c>
      <c r="F19" s="8" t="s">
        <v>72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1" t="s">
        <v>374</v>
      </c>
    </row>
    <row r="2" customFormat="false" ht="30" hidden="false" customHeight="true" outlineLevel="0" collapsed="false">
      <c r="A2" s="2" t="s">
        <v>375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">
        <v>250</v>
      </c>
      <c r="B4" s="7" t="s">
        <v>376</v>
      </c>
      <c r="C4" s="7" t="s">
        <v>377</v>
      </c>
      <c r="D4" s="7" t="s">
        <v>378</v>
      </c>
      <c r="E4" s="7" t="s">
        <v>379</v>
      </c>
    </row>
    <row r="5" customFormat="false" ht="48" hidden="false" customHeight="true" outlineLevel="0" collapsed="false">
      <c r="A5" s="9" t="n">
        <v>1</v>
      </c>
      <c r="B5" s="8" t="s">
        <v>380</v>
      </c>
      <c r="C5" s="9" t="s">
        <v>381</v>
      </c>
      <c r="D5" s="8" t="s">
        <v>382</v>
      </c>
      <c r="E5" s="9" t="s">
        <v>383</v>
      </c>
    </row>
    <row r="6" customFormat="false" ht="48" hidden="false" customHeight="true" outlineLevel="0" collapsed="false">
      <c r="A6" s="9" t="n">
        <v>2</v>
      </c>
      <c r="B6" s="8" t="s">
        <v>384</v>
      </c>
      <c r="C6" s="9" t="s">
        <v>385</v>
      </c>
      <c r="D6" s="8" t="s">
        <v>386</v>
      </c>
      <c r="E6" s="9" t="s">
        <v>387</v>
      </c>
    </row>
    <row r="7" customFormat="false" ht="48" hidden="false" customHeight="true" outlineLevel="0" collapsed="false">
      <c r="A7" s="9" t="n">
        <v>3</v>
      </c>
      <c r="B7" s="8" t="s">
        <v>388</v>
      </c>
      <c r="C7" s="9" t="s">
        <v>389</v>
      </c>
      <c r="D7" s="8" t="s">
        <v>390</v>
      </c>
      <c r="E7" s="9" t="s">
        <v>391</v>
      </c>
    </row>
    <row r="8" customFormat="false" ht="48" hidden="false" customHeight="true" outlineLevel="0" collapsed="false">
      <c r="A8" s="9" t="n">
        <v>4</v>
      </c>
      <c r="B8" s="8" t="s">
        <v>392</v>
      </c>
      <c r="C8" s="9" t="s">
        <v>393</v>
      </c>
      <c r="D8" s="8" t="s">
        <v>394</v>
      </c>
      <c r="E8" s="9" t="s">
        <v>391</v>
      </c>
    </row>
    <row r="9" customFormat="false" ht="48" hidden="false" customHeight="true" outlineLevel="0" collapsed="false">
      <c r="A9" s="9" t="n">
        <v>5</v>
      </c>
      <c r="B9" s="8" t="s">
        <v>395</v>
      </c>
      <c r="C9" s="9" t="s">
        <v>396</v>
      </c>
      <c r="D9" s="8" t="s">
        <v>397</v>
      </c>
      <c r="E9" s="9" t="s">
        <v>398</v>
      </c>
    </row>
    <row r="10" customFormat="false" ht="48" hidden="false" customHeight="true" outlineLevel="0" collapsed="false">
      <c r="A10" s="9" t="n">
        <v>6</v>
      </c>
      <c r="B10" s="8" t="s">
        <v>399</v>
      </c>
      <c r="C10" s="9" t="s">
        <v>400</v>
      </c>
      <c r="D10" s="8" t="s">
        <v>401</v>
      </c>
      <c r="E10" s="9" t="s">
        <v>402</v>
      </c>
    </row>
    <row r="11" customFormat="false" ht="48" hidden="false" customHeight="true" outlineLevel="0" collapsed="false">
      <c r="A11" s="9" t="n">
        <v>7</v>
      </c>
      <c r="B11" s="8" t="s">
        <v>403</v>
      </c>
      <c r="C11" s="9" t="s">
        <v>404</v>
      </c>
      <c r="D11" s="8" t="s">
        <v>405</v>
      </c>
      <c r="E11" s="9" t="s">
        <v>398</v>
      </c>
    </row>
    <row r="12" customFormat="false" ht="48" hidden="false" customHeight="true" outlineLevel="0" collapsed="false">
      <c r="A12" s="9" t="n">
        <v>8</v>
      </c>
      <c r="B12" s="8" t="s">
        <v>406</v>
      </c>
      <c r="C12" s="9" t="s">
        <v>407</v>
      </c>
      <c r="D12" s="8" t="s">
        <v>408</v>
      </c>
      <c r="E12" s="9" t="s">
        <v>409</v>
      </c>
    </row>
    <row r="13" customFormat="false" ht="48" hidden="false" customHeight="true" outlineLevel="0" collapsed="false">
      <c r="A13" s="9" t="n">
        <v>9</v>
      </c>
      <c r="B13" s="8" t="s">
        <v>410</v>
      </c>
      <c r="C13" s="9" t="s">
        <v>411</v>
      </c>
      <c r="D13" s="8" t="s">
        <v>412</v>
      </c>
      <c r="E13" s="9" t="s">
        <v>413</v>
      </c>
    </row>
    <row r="14" customFormat="false" ht="48" hidden="false" customHeight="true" outlineLevel="0" collapsed="false">
      <c r="A14" s="9" t="n">
        <v>10</v>
      </c>
      <c r="B14" s="8" t="s">
        <v>414</v>
      </c>
      <c r="C14" s="9" t="s">
        <v>415</v>
      </c>
      <c r="D14" s="8" t="s">
        <v>416</v>
      </c>
      <c r="E14" s="9" t="s">
        <v>417</v>
      </c>
    </row>
    <row r="15" customFormat="false" ht="48" hidden="false" customHeight="true" outlineLevel="0" collapsed="false">
      <c r="A15" s="9" t="n">
        <v>11</v>
      </c>
      <c r="B15" s="8" t="s">
        <v>418</v>
      </c>
      <c r="C15" s="9" t="s">
        <v>419</v>
      </c>
      <c r="D15" s="8" t="s">
        <v>420</v>
      </c>
      <c r="E15" s="9" t="s">
        <v>421</v>
      </c>
    </row>
    <row r="16" customFormat="false" ht="48" hidden="false" customHeight="true" outlineLevel="0" collapsed="false">
      <c r="A16" s="9" t="n">
        <v>12</v>
      </c>
      <c r="B16" s="8" t="s">
        <v>422</v>
      </c>
      <c r="C16" s="9" t="s">
        <v>423</v>
      </c>
      <c r="D16" s="8" t="s">
        <v>424</v>
      </c>
      <c r="E16" s="9" t="s">
        <v>398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2026-07-27T20:45:41Z</dcterms:created>
  <dc:creator>openpyxl</dc:creator>
  <dc:description/>
  <dc:language>en-US</dc:language>
  <cp:lastModifiedBy/>
  <dcterms:modified xsi:type="dcterms:W3CDTF">2026-07-27T20:45:41Z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