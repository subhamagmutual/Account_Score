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File Inventory" sheetId="2" state="visible" r:id="rId4"/>
    <sheet name="Checks" sheetId="3" state="visible" r:id="rId5"/>
    <sheet name="Key Functions" sheetId="4" state="visible" r:id="rId6"/>
    <sheet name="Parameter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<sst xmlns="http://schemas.openxmlformats.org/spreadsheetml/2006/main" count="398" uniqueCount="322">
  <si>
    <t xml:space="preserve">Physician MPL PAS — code guide</t>
  </si>
  <si>
    <t xml:space="preserve">Which file to run, in what order, and what to expect. Entry points are highlighted in amber.</t>
  </si>
  <si>
    <t xml:space="preserve">THE ENTRY POINT</t>
  </si>
  <si>
    <t xml:space="preserve">PAS_Pipeline.ipynb is the entry point for analysing your PAS model. It is the only notebook in the project.</t>
  </si>
  <si>
    <t xml:space="preserve">The other two runnable files are tests, not analysis. Run them once to confirm the harness works, then work in the notebook.</t>
  </si>
  <si>
    <t xml:space="preserve">Step</t>
  </si>
  <si>
    <t xml:space="preserve">Run this</t>
  </si>
  <si>
    <t xml:space="preserve">Command</t>
  </si>
  <si>
    <t xml:space="preserve">What it proves</t>
  </si>
  <si>
    <t xml:space="preserve">Expected result</t>
  </si>
  <si>
    <t xml:space="preserve">How often</t>
  </si>
  <si>
    <t xml:space="preserve">test_edges.py</t>
  </si>
  <si>
    <t xml:space="preserve">python test_edges.py</t>
  </si>
  <si>
    <t xml:space="preserve">The harness code itself is correct — 32 adversarial tests covering empty frames, all-NaN columns, duplicate indices, constant targets, both CLI exit codes.</t>
  </si>
  <si>
    <t xml:space="preserve">32 passed, 0 failed</t>
  </si>
  <si>
    <t xml:space="preserve">Once after install, and after any code change</t>
  </si>
  <si>
    <t xml:space="preserve">make_fixture.py</t>
  </si>
  <si>
    <t xml:space="preserve">python make_fixture.py</t>
  </si>
  <si>
    <t xml:space="preserve">Builds 60,000 synthetic rows with six bugs planted from your design workbook, so you can confirm the checks actually fire.</t>
  </si>
  <si>
    <t xml:space="preserve">Writes fixture_physician_scores.csv</t>
  </si>
  <si>
    <t xml:space="preserve">Once, then whenever checks change</t>
  </si>
  <si>
    <t xml:space="preserve">pas_diagnostics (CLI)</t>
  </si>
  <si>
    <t xml:space="preserve">python -m pas_diagnostics --input fixture_physician_scores.csv --outdir out</t>
  </si>
  <si>
    <t xml:space="preserve">The checks detect the planted bugs. If this returns zero blockers, nothing downstream is trustworthy.</t>
  </si>
  <si>
    <t xml:space="preserve">9 BLOCKER / 27 HIGH / 16 MEDIUM</t>
  </si>
  <si>
    <t xml:space="preserve">Once, as a smoke test</t>
  </si>
  <si>
    <t xml:space="preserve">PAS_Pipeline.ipynb</t>
  </si>
  <si>
    <t xml:space="preserve">Open in Jupyter / VS Code, run cells top to bottom</t>
  </si>
  <si>
    <t xml:space="preserve">THIS IS THE ACTUAL WORK. Points verified code at your real scored output to find out whether the PAS score sorts loss.</t>
  </si>
  <si>
    <t xml:space="preserve">Depends on your data — that is the point</t>
  </si>
  <si>
    <t xml:space="preserve">Ongoing. This is where you live.</t>
  </si>
  <si>
    <t xml:space="preserve">TIP — rehearse on the fixture before the real data</t>
  </si>
  <si>
    <t xml:space="preserve">In the notebook's PARAMS cell set input_path = "fixture_physician_scores.csv" and run it end to end first. The fixture has known answers, so if anything looks odd you know it is the notebook and not your data. Then swap in the Box path.</t>
  </si>
  <si>
    <t xml:space="preserve">CLI vs notebook</t>
  </si>
  <si>
    <t xml:space="preserve">Both call the same function — pipeline.run_pipeline() — so they cannot give different answers. Use the CLI for scheduled or repeat runs; use the notebook to investigate and debug. The CLI exits 3 when blockers are present, so it can gate a job.</t>
  </si>
  <si>
    <t xml:space="preserve">Codebase size (live formulas over the File Inventory sheet)</t>
  </si>
  <si>
    <t xml:space="preserve">Files documented</t>
  </si>
  <si>
    <t xml:space="preserve">Total lines of Python</t>
  </si>
  <si>
    <t xml:space="preserve">Diagnostic checks</t>
  </si>
  <si>
    <t xml:space="preserve">Config parameters</t>
  </si>
  <si>
    <t xml:space="preserve">File inventory</t>
  </si>
  <si>
    <t xml:space="preserve">Every file, what it is for, and whether you ever need to open it.</t>
  </si>
  <si>
    <t xml:space="preserve">File</t>
  </si>
  <si>
    <t xml:space="preserve">Type</t>
  </si>
  <si>
    <t xml:space="preserve">What it does</t>
  </si>
  <si>
    <t xml:space="preserve">Do you edit it?</t>
  </si>
  <si>
    <t xml:space="preserve">Depends on</t>
  </si>
  <si>
    <t xml:space="preserve">Lines</t>
  </si>
  <si>
    <t xml:space="preserve">NOTEBOOK — ENTRY POINT</t>
  </si>
  <si>
    <t xml:space="preserve">The analysis surface. 38 cells: parameters, schema resolution with fuzzy column matching, dispersion check, full pipeline run, per-check drill-downs with charts, reason codes, triage queue, inline PAS cards, threshold sweeps.</t>
  </si>
  <si>
    <t xml:space="preserve">Yes — the PARAMS cell. That is the design.</t>
  </si>
  <si>
    <t xml:space="preserve">everything below</t>
  </si>
  <si>
    <t xml:space="preserve">pas_diagnostics/config.py</t>
  </si>
  <si>
    <t xml:space="preserve">module</t>
  </si>
  <si>
    <t xml:space="preserve">DiagnosticConfig dataclass. Every threshold in the project lives here — 17 sites in checks.py read from it. Serialises to JSON so a run is reproducible.</t>
  </si>
  <si>
    <t xml:space="preserve">No — override from PARAMS instead</t>
  </si>
  <si>
    <t xml:space="preserve">—</t>
  </si>
  <si>
    <t xml:space="preserve">pas_diagnostics/schema.py</t>
  </si>
  <si>
    <t xml:space="preserve">ColumnMap and Variable. Maps the 23 scored variables to their raw and score columns, plus the sentinel registry (-99 etc.), plausible ranges, and the distributions transcribed from the design workbook.</t>
  </si>
  <si>
    <t xml:space="preserve">Only if column names change permanently</t>
  </si>
  <si>
    <t xml:space="preserve">config</t>
  </si>
  <si>
    <t xml:space="preserve">pas_diagnostics/metrics.py</t>
  </si>
  <si>
    <t xml:space="preserve">Statistics: Gini, Lorenz, Somers' D, VIF, PSI, weighted quantiles, band summaries, and monotonicity with a permutation significance test. pandas + numpy only — no scikit-learn or statsmodels.</t>
  </si>
  <si>
    <t xml:space="preserve">No</t>
  </si>
  <si>
    <t xml:space="preserve">pas_diagnostics/checks.py</t>
  </si>
  <si>
    <t xml:space="preserve">The ten diagnostic checks. Each returns a table plus severity-tagged findings. This is where the analytical judgement lives.</t>
  </si>
  <si>
    <t xml:space="preserve">Only to add a new check</t>
  </si>
  <si>
    <t xml:space="preserve">metrics, schema, config</t>
  </si>
  <si>
    <t xml:space="preserve">pas_diagnostics/pipeline.py</t>
  </si>
  <si>
    <t xml:space="preserve">Orchestration shared by the CLI and notebook: load, resolve schema, fuzzy-suggest column names, prepare the target, run all checks, return a PipelineResult.</t>
  </si>
  <si>
    <t xml:space="preserve">checks, report, config, schema</t>
  </si>
  <si>
    <t xml:space="preserve">pas_diagnostics/reasons.py</t>
  </si>
  <si>
    <t xml:space="preserve">Underwriter tooling: exact additive score attribution, reason codes, reconciliation, renewal triage queue, composite dispersion.</t>
  </si>
  <si>
    <t xml:space="preserve">schema, config</t>
  </si>
  <si>
    <t xml:space="preserve">pas_diagnostics/card.py</t>
  </si>
  <si>
    <t xml:space="preserve">Renders the PAS card as standalone HTML — no build step, no CDN. Shows each driver's raw value beside its score and renders data-quality caveats as visible warnings.</t>
  </si>
  <si>
    <t xml:space="preserve">Only to restyle</t>
  </si>
  <si>
    <t xml:space="preserve">reasons, schema</t>
  </si>
  <si>
    <t xml:space="preserve">pas_diagnostics/report.py</t>
  </si>
  <si>
    <t xml:space="preserve">Output writers: markdown findings report, per-check CSVs, optional Excel workbook.</t>
  </si>
  <si>
    <t xml:space="preserve">checks</t>
  </si>
  <si>
    <t xml:space="preserve">pas_diagnostics/cli.py</t>
  </si>
  <si>
    <t xml:space="preserve">Command-line entry point. Thin wrapper over pipeline.run_pipeline() so the CLI and notebook cannot drift apart.</t>
  </si>
  <si>
    <t xml:space="preserve">pipeline, config, schema</t>
  </si>
  <si>
    <t xml:space="preserve">pas_diagnostics/__init__.py</t>
  </si>
  <si>
    <t xml:space="preserve">Package marker. Exports ColumnMap, Variable, DiagnosticConfig. Without this file the import fails.</t>
  </si>
  <si>
    <t xml:space="preserve">config, schema</t>
  </si>
  <si>
    <t xml:space="preserve">pas_diagnostics/__main__.py</t>
  </si>
  <si>
    <t xml:space="preserve">Makes 'python -m pas_diagnostics' work.</t>
  </si>
  <si>
    <t xml:space="preserve">cli</t>
  </si>
  <si>
    <t xml:space="preserve">TEST — run once</t>
  </si>
  <si>
    <t xml:space="preserve">32 adversarial tests. Deliberately tries to break the harness rather than confirm the happy path. This is your install check.</t>
  </si>
  <si>
    <t xml:space="preserve">all modules</t>
  </si>
  <si>
    <t xml:space="preserve">Generates 60,000 synthetic rows reproducing six pathologies from the design workbook, so the checks can be verified before touching real data.</t>
  </si>
  <si>
    <t xml:space="preserve">build_notebook.py</t>
  </si>
  <si>
    <t xml:space="preserve">generator</t>
  </si>
  <si>
    <t xml:space="preserve">Emits PAS_Pipeline.ipynb. The notebook is regenerable rather than a hand-edited artifact that drifts. Edit here for structural changes.</t>
  </si>
  <si>
    <t xml:space="preserve">Only for structural notebook changes</t>
  </si>
  <si>
    <t xml:space="preserve">try_uw.py</t>
  </si>
  <si>
    <t xml:space="preserve">example script</t>
  </si>
  <si>
    <t xml:space="preserve">Small worked example of the underwriter tooling outside the notebook. Reference only.</t>
  </si>
  <si>
    <t xml:space="preserve">reasons, card, schema</t>
  </si>
  <si>
    <t xml:space="preserve">README.md</t>
  </si>
  <si>
    <t xml:space="preserve">docs</t>
  </si>
  <si>
    <t xml:space="preserve">Install, usage, what each check does, how to read the output, and the open questions the code surfaced.</t>
  </si>
  <si>
    <t xml:space="preserve">TOTAL</t>
  </si>
  <si>
    <t xml:space="preserve">Note: line counts are 0 for the notebook and README because they are not Python source. Extracted from the code, not typed by hand.</t>
  </si>
  <si>
    <t xml:space="preserve">The ten diagnostic checks</t>
  </si>
  <si>
    <t xml:space="preserve">Run in this order by pipeline.run_pipeline(). Schema and data quality come first because everything after them is meaningless if the columns are not what the design says.</t>
  </si>
  <si>
    <t xml:space="preserve">#</t>
  </si>
  <si>
    <t xml:space="preserve">Check</t>
  </si>
  <si>
    <t xml:space="preserve">Question it answers</t>
  </si>
  <si>
    <t xml:space="preserve">Can raise</t>
  </si>
  <si>
    <t xml:space="preserve">Notebook cell</t>
  </si>
  <si>
    <t xml:space="preserve">Output table</t>
  </si>
  <si>
    <t xml:space="preserve">check_schema</t>
  </si>
  <si>
    <t xml:space="preserve">Are the columns what the design workbook says?</t>
  </si>
  <si>
    <t xml:space="preserve">BLOCKER if the composite, target or exposure column is absent</t>
  </si>
  <si>
    <t xml:space="preserve">Step 1</t>
  </si>
  <si>
    <t xml:space="preserve">schema</t>
  </si>
  <si>
    <t xml:space="preserve">check_data_quality</t>
  </si>
  <si>
    <t xml:space="preserve">Missing, zero, out-of-range values — and critically, sentinels that received a score. CV_LOSS_FREE_YEARS = -99 means unknown but the documented bins map it to 10, the worst risk.</t>
  </si>
  <si>
    <t xml:space="preserve">BLOCKER when a sentinel scores &gt;= 8</t>
  </si>
  <si>
    <t xml:space="preserve">Step 4</t>
  </si>
  <si>
    <t xml:space="preserve">data_quality</t>
  </si>
  <si>
    <t xml:space="preserve">check_adequacy_is_experience</t>
  </si>
  <si>
    <t xml:space="preserve">Is Adequacy measuring the physician's loss experience, or a burn / on-level factor? 93% of physicians are claim-free, so genuine loss variables must be near-degenerate at zero.</t>
  </si>
  <si>
    <t xml:space="preserve">BLOCKER</t>
  </si>
  <si>
    <t xml:space="preserve">adequacy_reality</t>
  </si>
  <si>
    <t xml:space="preserve">check_circularity</t>
  </si>
  <si>
    <t xml:space="preserve">Were the bands cut on the outcome? Specialty and state tiers were cut on portfolio loss ratio, so lift against loss ratio is circular — and loss ratio reflects rate adequacy, not only risk.</t>
  </si>
  <si>
    <t xml:space="preserve">circularity</t>
  </si>
  <si>
    <t xml:space="preserve">check_variable_signal</t>
  </si>
  <si>
    <t xml:space="preserve">Does each variable order loss? Band loss ratio vs score, with a permutation test so noise is not reported as inversion.</t>
  </si>
  <si>
    <t xml:space="preserve">BLOCKER if inverted, HIGH if no evidence</t>
  </si>
  <si>
    <t xml:space="preserve">variable_signal + bands_*</t>
  </si>
  <si>
    <t xml:space="preserve">check_discrimination</t>
  </si>
  <si>
    <t xml:space="preserve">Can the bands separate the book, or is most of it tied? 77% of policies sit at exactly $1M per-occurrence.</t>
  </si>
  <si>
    <t xml:space="preserve">HIGH / MEDIUM</t>
  </si>
  <si>
    <t xml:space="preserve">discrimination</t>
  </si>
  <si>
    <t xml:space="preserve">check_effective_weights</t>
  </si>
  <si>
    <t xml:space="preserve">Nominal vs realised weight after weight-zeroing. Hospital Rating is missing on 59% of records, so its stated weight is fiction for most of the book.</t>
  </si>
  <si>
    <t xml:space="preserve">HIGH</t>
  </si>
  <si>
    <t xml:space="preserve">effective_weights</t>
  </si>
  <si>
    <t xml:space="preserve">check_redundancy</t>
  </si>
  <si>
    <t xml:space="preserve">VIF and pairwise rank correlation. Total / indemnity / expense loss cost and loss ratio share a numerator or denominator by construction.</t>
  </si>
  <si>
    <t xml:space="preserve">vif + score_correlation</t>
  </si>
  <si>
    <t xml:space="preserve">check_composite_lift</t>
  </si>
  <si>
    <t xml:space="preserve">Gini in-sample and out-of-time, plus Lorenz curves.</t>
  </si>
  <si>
    <t xml:space="preserve">BLOCKER if Gini is negative or under 0.10</t>
  </si>
  <si>
    <t xml:space="preserve">lift_summary + lift_lorenz_*</t>
  </si>
  <si>
    <t xml:space="preserve">check_stability</t>
  </si>
  <si>
    <t xml:space="preserve">PSI year over year. Band widths are recomputed from the portfolio mean each run, so part of any shift may be recalibration rather than real movement.</t>
  </si>
  <si>
    <t xml:space="preserve">HIGH above PSI 0.25</t>
  </si>
  <si>
    <t xml:space="preserve">stability</t>
  </si>
  <si>
    <t xml:space="preserve">Severity meaning — BLOCKER: PAS should not influence price or appear in an underwriter workflow until resolved. HIGH: usable for internal exploration, not defensible in a filing or model governance review. MEDIUM: worth fixing. INFO: context.</t>
  </si>
  <si>
    <t xml:space="preserve">Functions you will call directly</t>
  </si>
  <si>
    <t xml:space="preserve">Everything else is internal. Extracted from the source, not transcribed.</t>
  </si>
  <si>
    <t xml:space="preserve">Module</t>
  </si>
  <si>
    <t xml:space="preserve">Function</t>
  </si>
  <si>
    <t xml:space="preserve">Used in</t>
  </si>
  <si>
    <t xml:space="preserve">pipeline</t>
  </si>
  <si>
    <t xml:space="preserve">load_data(cfg)</t>
  </si>
  <si>
    <t xml:space="preserve">Read the scored CSV or parquet, honouring cfg.nrows.</t>
  </si>
  <si>
    <t xml:space="preserve">resolve_schema(df, cm)</t>
  </si>
  <si>
    <t xml:space="preserve">Which expected columns exist? Returns a frame you can filter on found=False.</t>
  </si>
  <si>
    <t xml:space="preserve">suggest_column_map(df, cm)</t>
  </si>
  <si>
    <t xml:space="preserve">Fuzzy-matches unresolved columns using edit distance and token overlap. String similarity only — it has no idea what the columns mean, so verify every suggestion.</t>
  </si>
  <si>
    <t xml:space="preserve">apply_overrides(cm, overrides)</t>
  </si>
  <si>
    <t xml:space="preserve">Patch a ColumnMap from a nested dict. Validates names and raises on typos.</t>
  </si>
  <si>
    <t xml:space="preserve">run_pipeline(cfg, cm, df)</t>
  </si>
  <si>
    <t xml:space="preserve">Runs all ten checks. Returns PipelineResult; writing is separate.</t>
  </si>
  <si>
    <t xml:space="preserve">Step 3</t>
  </si>
  <si>
    <t xml:space="preserve">PipelineResult</t>
  </si>
  <si>
    <t xml:space="preserve">.table(name) / .bands(var)</t>
  </si>
  <si>
    <t xml:space="preserve">Fetch any output table by name.</t>
  </si>
  <si>
    <t xml:space="preserve">.blockers() / .findings_df() / .counts()</t>
  </si>
  <si>
    <t xml:space="preserve">Findings as frames, filterable by severity or check.</t>
  </si>
  <si>
    <t xml:space="preserve">.write(outdir)</t>
  </si>
  <si>
    <t xml:space="preserve">Write markdown report, CSVs, optional Excel, and run_config.json.</t>
  </si>
  <si>
    <t xml:space="preserve">Step 6</t>
  </si>
  <si>
    <t xml:space="preserve">reasons</t>
  </si>
  <si>
    <t xml:space="preserve">dispersion(df, cm)</t>
  </si>
  <si>
    <t xml:space="preserve">Can the composite populate the high bands? Returns the distribution plus plain-language notes.</t>
  </si>
  <si>
    <t xml:space="preserve">Step 2</t>
  </si>
  <si>
    <t xml:space="preserve">reconciliation(df, cm)</t>
  </si>
  <si>
    <t xml:space="preserve">Proves the attribution is exact. Run before showing anyone reason codes — if the residual exceeds 0.5 they describe a different model than the one that produced the score.</t>
  </si>
  <si>
    <t xml:space="preserve">Step 5</t>
  </si>
  <si>
    <t xml:space="preserve">reason_codes(df, cm, top_n)</t>
  </si>
  <si>
    <t xml:space="preserve">Top N drivers up and down per physician, with raw values, realised weights, signed score-point contributions, and data-quality caveats.</t>
  </si>
  <si>
    <t xml:space="preserve">attribute(df, cm)</t>
  </si>
  <si>
    <t xml:space="preserve">The raw per-variable contribution matrix behind reason codes.</t>
  </si>
  <si>
    <t xml:space="preserve">triage(df, cm, exposure_col)</t>
  </si>
  <si>
    <t xml:space="preserve">Renewal queue ranked on premium at risk, not raw score.</t>
  </si>
  <si>
    <t xml:space="preserve">card</t>
  </si>
  <si>
    <t xml:space="preserve">render(df, cm, path, limit)</t>
  </si>
  <si>
    <t xml:space="preserve">Standalone HTML PAS cards. Displayed inline in the notebook.</t>
  </si>
  <si>
    <t xml:space="preserve">metrics</t>
  </si>
  <si>
    <t xml:space="preserve">gini / somers_d / monotonicity</t>
  </si>
  <si>
    <t xml:space="preserve">Call directly for ad-hoc analysis. monotonicity() includes the permutation p-value.</t>
  </si>
  <si>
    <t xml:space="preserve">ad hoc</t>
  </si>
  <si>
    <t xml:space="preserve">DiagnosticConfig(**PARAMS)</t>
  </si>
  <si>
    <t xml:space="preserve">Build a config from the PARAMS dict.</t>
  </si>
  <si>
    <t xml:space="preserve">Setup</t>
  </si>
  <si>
    <t xml:space="preserve">cfg.replace(**kw)</t>
  </si>
  <si>
    <t xml:space="preserve">Copy with overrides — used for the threshold sweeps.</t>
  </si>
  <si>
    <t xml:space="preserve">Sweeps</t>
  </si>
  <si>
    <t xml:space="preserve">All set from the notebook's PARAMS cell. Never edit a module to tune a threshold — it breaks reproducibility from run_config.json.</t>
  </si>
  <si>
    <t xml:space="preserve">Parameter</t>
  </si>
  <si>
    <t xml:space="preserve">Default</t>
  </si>
  <si>
    <t xml:space="preserve">Controls</t>
  </si>
  <si>
    <t xml:space="preserve">When to change it</t>
  </si>
  <si>
    <t xml:space="preserve">input_path</t>
  </si>
  <si>
    <t xml:space="preserve">None</t>
  </si>
  <si>
    <t xml:space="preserve">Path to the scored CSV or parquet.</t>
  </si>
  <si>
    <t xml:space="preserve">Always. Pre-filled with your Box path.</t>
  </si>
  <si>
    <t xml:space="preserve">output_dir</t>
  </si>
  <si>
    <t xml:space="preserve">pas_diagnostics_out</t>
  </si>
  <si>
    <t xml:space="preserve">Where reports and tables are written.</t>
  </si>
  <si>
    <t xml:space="preserve">Per run.</t>
  </si>
  <si>
    <t xml:space="preserve">nrows</t>
  </si>
  <si>
    <t xml:space="preserve">Read only the first N rows.</t>
  </si>
  <si>
    <t xml:space="preserve">Set to 50,000 while iterating; a 48 MB CSV is slow to parse. None for the final run.</t>
  </si>
  <si>
    <t xml:space="preserve">target_basis</t>
  </si>
  <si>
    <t xml:space="preserve">loss_ratio</t>
  </si>
  <si>
    <t xml:space="preserve">loss_ratio divides by on-levelled premium. loss_cost divides by BCE exposure and is rate-independent.</t>
  </si>
  <si>
    <t xml:space="preserve">Switch to loss_cost to test whether lift survives without the circular specialty and state tiers. This is the single most informative sweep.</t>
  </si>
  <si>
    <t xml:space="preserve">train_years / test_years</t>
  </si>
  <si>
    <t xml:space="preserve">Out-of-time split for the lift check.</t>
  </si>
  <si>
    <t xml:space="preserve">Set both, or no split is performed and in-sample lift is not evidence.</t>
  </si>
  <si>
    <t xml:space="preserve">anchor</t>
  </si>
  <si>
    <t xml:space="preserve">4.5</t>
  </si>
  <si>
    <t xml:space="preserve">The band the portfolio mean lands in; also the origin for attribution.</t>
  </si>
  <si>
    <t xml:space="preserve">Rarely. Note the credibility complement is 5, not 4.5 — that mismatch is why reconciliation shows a residual.</t>
  </si>
  <si>
    <t xml:space="preserve">credibility_complement</t>
  </si>
  <si>
    <t xml:space="preserve">5.0</t>
  </si>
  <si>
    <t xml:space="preserve">Value thin-experience scores are pulled toward.</t>
  </si>
  <si>
    <t xml:space="preserve">If the pipeline changes its complement.</t>
  </si>
  <si>
    <t xml:space="preserve">min_exposure_share</t>
  </si>
  <si>
    <t xml:space="preserve">0.005</t>
  </si>
  <si>
    <t xml:space="preserve">Bands holding less exposure than this are excluded from monotonicity.</t>
  </si>
  <si>
    <t xml:space="preserve">Raise if small bands are producing noisy findings.</t>
  </si>
  <si>
    <t xml:space="preserve">n_permutations</t>
  </si>
  <si>
    <t xml:space="preserve">2000</t>
  </si>
  <si>
    <t xml:space="preserve">Draws for the monotonicity significance test.</t>
  </si>
  <si>
    <t xml:space="preserve">Raise for stabler p-values; 2000 resolves to about 0.0005.</t>
  </si>
  <si>
    <t xml:space="preserve">p_value_threshold</t>
  </si>
  <si>
    <t xml:space="preserve">0.05</t>
  </si>
  <si>
    <t xml:space="preserve">Above this the finding is 'no evidence of ordering', in either direction.</t>
  </si>
  <si>
    <t xml:space="preserve">Tighten to 0.01 — about 26 variables are tested, so roughly one false positive is expected at 0.05.</t>
  </si>
  <si>
    <t xml:space="preserve">inversion_threshold</t>
  </si>
  <si>
    <t xml:space="preserve">-0.30</t>
  </si>
  <si>
    <t xml:space="preserve">Spearman below this, and significant, is reported as inverted.</t>
  </si>
  <si>
    <t xml:space="preserve">Rarely.</t>
  </si>
  <si>
    <t xml:space="preserve">weak_signal_threshold</t>
  </si>
  <si>
    <t xml:space="preserve">0.30</t>
  </si>
  <si>
    <t xml:space="preserve">Below this counts as weak ordering.</t>
  </si>
  <si>
    <t xml:space="preserve">tie_threshold</t>
  </si>
  <si>
    <t xml:space="preserve">0.50</t>
  </si>
  <si>
    <t xml:space="preserve">Flag a variable when this share of records get an identical score.</t>
  </si>
  <si>
    <t xml:space="preserve">Lower to catch milder concentration.</t>
  </si>
  <si>
    <t xml:space="preserve">min_effective_bands</t>
  </si>
  <si>
    <t xml:space="preserve">3.0</t>
  </si>
  <si>
    <t xml:space="preserve">Flag when fewer bands are effectively in use.</t>
  </si>
  <si>
    <t xml:space="preserve">circularity_corr_threshold</t>
  </si>
  <si>
    <t xml:space="preserve">0.90</t>
  </si>
  <si>
    <t xml:space="preserve">Rank correlation above which an undeclared variable is flagged as possibly target-derived.</t>
  </si>
  <si>
    <t xml:space="preserve">vif_severe / vif_moderate</t>
  </si>
  <si>
    <t xml:space="preserve">10.0 / 5.0</t>
  </si>
  <si>
    <t xml:space="preserve">Redundancy thresholds.</t>
  </si>
  <si>
    <t xml:space="preserve">pairwise_corr_threshold</t>
  </si>
  <si>
    <t xml:space="preserve">0.85</t>
  </si>
  <si>
    <t xml:space="preserve">Flag near-duplicate score pairs.</t>
  </si>
  <si>
    <t xml:space="preserve">psi_unstable</t>
  </si>
  <si>
    <t xml:space="preserve">0.25</t>
  </si>
  <si>
    <t xml:space="preserve">PSI above which the distribution is called unstable.</t>
  </si>
  <si>
    <t xml:space="preserve">present_pct_threshold</t>
  </si>
  <si>
    <t xml:space="preserve">0.80</t>
  </si>
  <si>
    <t xml:space="preserve">Flag variables available on less than this share of records.</t>
  </si>
  <si>
    <t xml:space="preserve">Rarely. Hospital Rating sits at 41%.</t>
  </si>
  <si>
    <t xml:space="preserve">burn_factor_max_zero_share</t>
  </si>
  <si>
    <t xml:space="preserve">0.20</t>
  </si>
  <si>
    <t xml:space="preserve">Part of the test for 'this is not loss experience'. A genuine loss variable is zero for most physicians.</t>
  </si>
  <si>
    <t xml:space="preserve">Only with a reason — this drives the most consequential finding.</t>
  </si>
  <si>
    <t xml:space="preserve">burn_factor_min_non_null</t>
  </si>
  <si>
    <t xml:space="preserve">0.98</t>
  </si>
  <si>
    <t xml:space="preserve">Second part of the same test.</t>
  </si>
  <si>
    <t xml:space="preserve">As above.</t>
  </si>
  <si>
    <t xml:space="preserve">burn_factor_max_spread</t>
  </si>
  <si>
    <t xml:space="preserve">0.60</t>
  </si>
  <si>
    <t xml:space="preserve">Third part: relative p5-p95 spread.</t>
  </si>
  <si>
    <t xml:space="preserve">expected_zero_claim_share</t>
  </si>
  <si>
    <t xml:space="preserve">0.93</t>
  </si>
  <si>
    <t xml:space="preserve">Fallback claim-free share when the claim count column is absent.</t>
  </si>
  <si>
    <t xml:space="preserve">If your book's claim-free rate differs.</t>
  </si>
  <si>
    <t xml:space="preserve">spec_drift_tolerance</t>
  </si>
  <si>
    <t xml:space="preserve">Relative gap from the design workbook's documented distribution that triggers a drift finding.</t>
  </si>
  <si>
    <t xml:space="preserve">reason_top_n</t>
  </si>
  <si>
    <t xml:space="preserve">3</t>
  </si>
  <si>
    <t xml:space="preserve">Drivers shown up and down per physician.</t>
  </si>
  <si>
    <t xml:space="preserve">Taste.</t>
  </si>
  <si>
    <t xml:space="preserve">card_limit / card_top_drivers</t>
  </si>
  <si>
    <t xml:space="preserve">25 / 4</t>
  </si>
  <si>
    <t xml:space="preserve">Cards rendered, drivers per card.</t>
  </si>
  <si>
    <t xml:space="preserve">triage_top_n / triage_min_premium</t>
  </si>
  <si>
    <t xml:space="preserve">250 / 0.0</t>
  </si>
  <si>
    <t xml:space="preserve">Size and floor of the review queue.</t>
  </si>
  <si>
    <t xml:space="preserve">drop_nonpositive_exposure</t>
  </si>
  <si>
    <t xml:space="preserve">True</t>
  </si>
  <si>
    <t xml:space="preserve">Filter rows with exposure &lt;= 0.</t>
  </si>
  <si>
    <t xml:space="preserve">Set False to inspect raw data when the pipeline reports an empty frame.</t>
  </si>
  <si>
    <t xml:space="preserve">write_csvs / write_markdown / write_excel</t>
  </si>
  <si>
    <t xml:space="preserve">True / True / False</t>
  </si>
  <si>
    <t xml:space="preserve">Which outputs .write() produces.</t>
  </si>
  <si>
    <t xml:space="preserve">Enable Excel for circulation.</t>
  </si>
  <si>
    <t xml:space="preserve">verbose</t>
  </si>
  <si>
    <t xml:space="preserve">Progress printing.</t>
  </si>
  <si>
    <t xml:space="preserve">False inside sweeps.</t>
  </si>
  <si>
    <t xml:space="preserve">notes</t>
  </si>
  <si>
    <t xml:space="preserve">{}</t>
  </si>
  <si>
    <t xml:space="preserve">Free-form provenance written into run_metadata.json.</t>
  </si>
  <si>
    <t xml:space="preserve">Record analyst and purpose — model governance will ask.</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</si>
</sst>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ChecksTbl" displayName="ChecksTbl" ref="A4:F14" headerRowCount="1" totalsRowCount="0" totalsRowShown="0">
  <autoFilter ref="A4:F14"/>
  <tableColumns count="6">
    <tableColumn id="1" name="#"/>
    <tableColumn id="2" name="Check"/>
    <tableColumn id="3" name="Question it answers"/>
    <tableColumn id="4" name="Can raise"/>
    <tableColumn id="5" name="Notebook cell"/>
    <tableColumn id="6" name="Output table"/>
  </tableColumns>
</table>
</file>

<file path=xl/tables/table2.xml><?xml version="1.0" encoding="utf-8"?>
<table xmlns="http://schemas.openxmlformats.org/spreadsheetml/2006/main" id="2" name="FuncsTbl" displayName="FuncsTbl" ref="A4:D21" headerRowCount="1" totalsRowCount="0" totalsRowShown="0">
  <autoFilter ref="A4:D21"/>
  <tableColumns count="4">
    <tableColumn id="1" name="Module"/>
    <tableColumn id="2" name="Function"/>
    <tableColumn id="3" name="What it does"/>
    <tableColumn id="4" name="Used in"/>
  </tableColumns>
</table>
</file>

<file path=xl/tables/table3.xml><?xml version="1.0" encoding="utf-8"?>
<table xmlns="http://schemas.openxmlformats.org/spreadsheetml/2006/main" id="3" name="ParamsTbl" displayName="ParamsTbl" ref="A4:D35" headerRowCount="1" totalsRowCount="0" totalsRowShown="0">
  <autoFilter ref="A4:D35"/>
  <tableColumns count="4">
    <tableColumn id="1" name="Parameter"/>
    <tableColumn id="2" name="Default"/>
    <tableColumn id="3" name="Controls"/>
    <tableColumn id="4" name="When to change it"/>
  </tableColumns>
</table>
</file>

<file path=xl/tables/table4.xml><?xml version="1.0" encoding="utf-8"?>
<table xmlns="http://schemas.openxmlformats.org/spreadsheetml/2006/main" id="4" name="RunOrder" displayName="RunOrder" ref="A8:F12" headerRowCount="1" totalsRowCount="0" totalsRowShown="0">
  <autoFilter ref="A8:F12"/>
  <tableColumns count="6">
    <tableColumn id="1" name="Step"/>
    <tableColumn id="2" name="Run this"/>
    <tableColumn id="3" name="Command"/>
    <tableColumn id="4" name="What it proves"/>
    <tableColumn id="5" name="Expected result"/>
    <tableColumn id="6" name="How ofte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4" min="3" style="0" width="52"/>
    <col collapsed="false" customWidth="true" hidden="false" outlineLevel="0" max="5" min="5" style="0" width="30"/>
    <col collapsed="false" customWidth="true" hidden="false" outlineLevel="0" max="6" min="6" style="0" width="34"/>
  </cols>
  <sheetData>
    <row r="1" customFormat="false" ht="21.75" hidden="false" customHeight="true" outlineLevel="0" collapsed="false">
      <c r="A1" s="1" t="s">
        <v>0</v>
      </c>
    </row>
    <row r="2" customFormat="false" ht="15" hidden="false" customHeight="true" outlineLevel="0" collapsed="false">
      <c r="A2" s="2" t="s">
        <v>1</v>
      </c>
    </row>
    <row r="4" customFormat="false" ht="15" hidden="false" customHeight="false" outlineLevel="0" collapsed="false">
      <c r="A4" s="3" t="s">
        <v>2</v>
      </c>
    </row>
    <row r="5" customFormat="false" ht="25.5" hidden="false" customHeight="true" outlineLevel="0" collapsed="false">
      <c r="A5" s="4" t="s">
        <v>3</v>
      </c>
      <c r="B5" s="4"/>
      <c r="C5" s="4"/>
      <c r="D5" s="4"/>
      <c r="E5" s="4"/>
      <c r="F5" s="4"/>
    </row>
    <row r="6" customFormat="false" ht="25.5" hidden="false" customHeight="true" outlineLevel="0" collapsed="false">
      <c r="A6" s="5" t="s">
        <v>4</v>
      </c>
      <c r="B6" s="5"/>
      <c r="C6" s="5"/>
      <c r="D6" s="5"/>
      <c r="E6" s="5"/>
      <c r="F6" s="5"/>
    </row>
    <row r="8" customFormat="false" ht="27.75" hidden="false" customHeight="true" outlineLevel="0" collapsed="false">
      <c r="A8" s="6" t="s">
        <v>5</v>
      </c>
      <c r="B8" s="6" t="s">
        <v>6</v>
      </c>
      <c r="C8" s="6" t="s">
        <v>7</v>
      </c>
      <c r="D8" s="6" t="s">
        <v>8</v>
      </c>
      <c r="E8" s="6" t="s">
        <v>9</v>
      </c>
      <c r="F8" s="6" t="s">
        <v>10</v>
      </c>
    </row>
    <row r="9" customFormat="false" ht="61.5" hidden="false" customHeight="true" outlineLevel="0" collapsed="false">
      <c r="A9" s="7" t="n">
        <v>1</v>
      </c>
      <c r="B9" s="8" t="s">
        <v>11</v>
      </c>
      <c r="C9" s="8" t="s">
        <v>12</v>
      </c>
      <c r="D9" s="8" t="s">
        <v>13</v>
      </c>
      <c r="E9" s="8" t="s">
        <v>14</v>
      </c>
      <c r="F9" s="8" t="s">
        <v>15</v>
      </c>
    </row>
    <row r="10" customFormat="false" ht="61.5" hidden="false" customHeight="true" outlineLevel="0" collapsed="false">
      <c r="A10" s="7" t="n">
        <v>2</v>
      </c>
      <c r="B10" s="8" t="s">
        <v>16</v>
      </c>
      <c r="C10" s="8" t="s">
        <v>17</v>
      </c>
      <c r="D10" s="8" t="s">
        <v>18</v>
      </c>
      <c r="E10" s="8" t="s">
        <v>19</v>
      </c>
      <c r="F10" s="8" t="s">
        <v>20</v>
      </c>
    </row>
    <row r="11" customFormat="false" ht="61.5" hidden="false" customHeight="true" outlineLevel="0" collapsed="false">
      <c r="A11" s="7" t="n">
        <v>3</v>
      </c>
      <c r="B11" s="8" t="s">
        <v>21</v>
      </c>
      <c r="C11" s="8" t="s">
        <v>22</v>
      </c>
      <c r="D11" s="8" t="s">
        <v>23</v>
      </c>
      <c r="E11" s="8" t="s">
        <v>24</v>
      </c>
      <c r="F11" s="8" t="s">
        <v>25</v>
      </c>
    </row>
    <row r="12" customFormat="false" ht="61.5" hidden="false" customHeight="true" outlineLevel="0" collapsed="false">
      <c r="A12" s="9" t="n">
        <v>4</v>
      </c>
      <c r="B12" s="10" t="s">
        <v>26</v>
      </c>
      <c r="C12" s="10" t="s">
        <v>27</v>
      </c>
      <c r="D12" s="10" t="s">
        <v>28</v>
      </c>
      <c r="E12" s="10" t="s">
        <v>29</v>
      </c>
      <c r="F12" s="10" t="s">
        <v>30</v>
      </c>
    </row>
    <row r="15" customFormat="false" ht="15" hidden="false" customHeight="false" outlineLevel="0" collapsed="false">
      <c r="A15" s="3" t="s">
        <v>31</v>
      </c>
    </row>
    <row r="16" customFormat="false" ht="39.75" hidden="false" customHeight="true" outlineLevel="0" collapsed="false">
      <c r="A16" s="5" t="s">
        <v>32</v>
      </c>
      <c r="B16" s="5"/>
      <c r="C16" s="5"/>
      <c r="D16" s="5"/>
      <c r="E16" s="5"/>
      <c r="F16" s="5"/>
    </row>
    <row r="18" customFormat="false" ht="15" hidden="false" customHeight="false" outlineLevel="0" collapsed="false">
      <c r="A18" s="3" t="s">
        <v>33</v>
      </c>
    </row>
    <row r="19" customFormat="false" ht="39.75" hidden="false" customHeight="true" outlineLevel="0" collapsed="false">
      <c r="A19" s="5" t="s">
        <v>34</v>
      </c>
      <c r="B19" s="5"/>
      <c r="C19" s="5"/>
      <c r="D19" s="5"/>
      <c r="E19" s="5"/>
      <c r="F19" s="5"/>
    </row>
    <row r="21" customFormat="false" ht="15" hidden="false" customHeight="false" outlineLevel="0" collapsed="false">
      <c r="A21" s="3" t="s">
        <v>35</v>
      </c>
    </row>
    <row r="22" customFormat="false" ht="15" hidden="false" customHeight="false" outlineLevel="0" collapsed="false">
      <c r="A22" s="11" t="s">
        <v>36</v>
      </c>
      <c r="B22" s="12" t="n">
        <f aca="false">COUNTA('File Inventory'!A5:A21)</f>
        <v>17</v>
      </c>
    </row>
    <row r="23" customFormat="false" ht="15" hidden="false" customHeight="false" outlineLevel="0" collapsed="false">
      <c r="A23" s="11" t="s">
        <v>37</v>
      </c>
      <c r="B23" s="12" t="n">
        <f aca="false">'File Inventory'!F22</f>
        <v>3858</v>
      </c>
    </row>
    <row r="24" customFormat="false" ht="15" hidden="false" customHeight="false" outlineLevel="0" collapsed="false">
      <c r="A24" s="11" t="s">
        <v>38</v>
      </c>
      <c r="B24" s="12" t="n">
        <f aca="false">COUNTA(Checks!A5:A14)</f>
        <v>10</v>
      </c>
    </row>
    <row r="25" customFormat="false" ht="15" hidden="false" customHeight="false" outlineLevel="0" collapsed="false">
      <c r="A25" s="11" t="s">
        <v>39</v>
      </c>
      <c r="B25" s="12" t="n">
        <f aca="false">COUNTA(Parameters!A5:A40)</f>
        <v>31</v>
      </c>
    </row>
  </sheetData>
  <mergeCells count="4">
    <mergeCell ref="A5:F5"/>
    <mergeCell ref="A6:F6"/>
    <mergeCell ref="A16:F16"/>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62"/>
    <col collapsed="false" customWidth="true" hidden="false" outlineLevel="0" max="4" min="4" style="0" width="30"/>
    <col collapsed="false" customWidth="true" hidden="false" outlineLevel="0" max="5" min="5" style="0" width="26"/>
    <col collapsed="false" customWidth="true" hidden="false" outlineLevel="0" max="6" min="6" style="0" width="8"/>
  </cols>
  <sheetData>
    <row r="1" customFormat="false" ht="21.75" hidden="false" customHeight="true" outlineLevel="0" collapsed="false">
      <c r="A1" s="1" t="s">
        <v>40</v>
      </c>
    </row>
    <row r="2" customFormat="false" ht="15" hidden="false" customHeight="true" outlineLevel="0" collapsed="false">
      <c r="A2" s="2" t="s">
        <v>41</v>
      </c>
    </row>
    <row r="4" customFormat="false" ht="27.75" hidden="false" customHeight="true" outlineLevel="0" collapsed="false">
      <c r="A4" s="6" t="s">
        <v>42</v>
      </c>
      <c r="B4" s="6" t="s">
        <v>43</v>
      </c>
      <c r="C4" s="6" t="s">
        <v>44</v>
      </c>
      <c r="D4" s="6" t="s">
        <v>45</v>
      </c>
      <c r="E4" s="6" t="s">
        <v>46</v>
      </c>
      <c r="F4" s="6" t="s">
        <v>47</v>
      </c>
    </row>
    <row r="5" customFormat="false" ht="55.5" hidden="false" customHeight="true" outlineLevel="0" collapsed="false">
      <c r="A5" s="10" t="s">
        <v>26</v>
      </c>
      <c r="B5" s="9" t="s">
        <v>48</v>
      </c>
      <c r="C5" s="10" t="s">
        <v>49</v>
      </c>
      <c r="D5" s="10" t="s">
        <v>50</v>
      </c>
      <c r="E5" s="10" t="s">
        <v>51</v>
      </c>
      <c r="F5" s="9" t="n">
        <v>0</v>
      </c>
    </row>
    <row r="6" customFormat="false" ht="55.5" hidden="false" customHeight="true" outlineLevel="0" collapsed="false">
      <c r="A6" s="8" t="s">
        <v>52</v>
      </c>
      <c r="B6" s="7" t="s">
        <v>53</v>
      </c>
      <c r="C6" s="8" t="s">
        <v>54</v>
      </c>
      <c r="D6" s="8" t="s">
        <v>55</v>
      </c>
      <c r="E6" s="8" t="s">
        <v>56</v>
      </c>
      <c r="F6" s="7" t="n">
        <v>158</v>
      </c>
    </row>
    <row r="7" customFormat="false" ht="55.5" hidden="false" customHeight="true" outlineLevel="0" collapsed="false">
      <c r="A7" s="8" t="s">
        <v>57</v>
      </c>
      <c r="B7" s="7" t="s">
        <v>53</v>
      </c>
      <c r="C7" s="8" t="s">
        <v>58</v>
      </c>
      <c r="D7" s="8" t="s">
        <v>59</v>
      </c>
      <c r="E7" s="8" t="s">
        <v>60</v>
      </c>
      <c r="F7" s="7" t="n">
        <v>243</v>
      </c>
    </row>
    <row r="8" customFormat="false" ht="55.5" hidden="false" customHeight="true" outlineLevel="0" collapsed="false">
      <c r="A8" s="8" t="s">
        <v>61</v>
      </c>
      <c r="B8" s="7" t="s">
        <v>53</v>
      </c>
      <c r="C8" s="8" t="s">
        <v>62</v>
      </c>
      <c r="D8" s="8" t="s">
        <v>63</v>
      </c>
      <c r="E8" s="8" t="s">
        <v>56</v>
      </c>
      <c r="F8" s="7" t="n">
        <v>291</v>
      </c>
    </row>
    <row r="9" customFormat="false" ht="55.5" hidden="false" customHeight="true" outlineLevel="0" collapsed="false">
      <c r="A9" s="8" t="s">
        <v>64</v>
      </c>
      <c r="B9" s="7" t="s">
        <v>53</v>
      </c>
      <c r="C9" s="8" t="s">
        <v>65</v>
      </c>
      <c r="D9" s="8" t="s">
        <v>66</v>
      </c>
      <c r="E9" s="8" t="s">
        <v>67</v>
      </c>
      <c r="F9" s="7" t="n">
        <v>699</v>
      </c>
    </row>
    <row r="10" customFormat="false" ht="55.5" hidden="false" customHeight="true" outlineLevel="0" collapsed="false">
      <c r="A10" s="8" t="s">
        <v>68</v>
      </c>
      <c r="B10" s="7" t="s">
        <v>53</v>
      </c>
      <c r="C10" s="8" t="s">
        <v>69</v>
      </c>
      <c r="D10" s="8" t="s">
        <v>63</v>
      </c>
      <c r="E10" s="8" t="s">
        <v>70</v>
      </c>
      <c r="F10" s="7" t="n">
        <v>397</v>
      </c>
    </row>
    <row r="11" customFormat="false" ht="55.5" hidden="false" customHeight="true" outlineLevel="0" collapsed="false">
      <c r="A11" s="8" t="s">
        <v>71</v>
      </c>
      <c r="B11" s="7" t="s">
        <v>53</v>
      </c>
      <c r="C11" s="8" t="s">
        <v>72</v>
      </c>
      <c r="D11" s="8" t="s">
        <v>63</v>
      </c>
      <c r="E11" s="8" t="s">
        <v>73</v>
      </c>
      <c r="F11" s="7" t="n">
        <v>258</v>
      </c>
    </row>
    <row r="12" customFormat="false" ht="55.5" hidden="false" customHeight="true" outlineLevel="0" collapsed="false">
      <c r="A12" s="8" t="s">
        <v>74</v>
      </c>
      <c r="B12" s="7" t="s">
        <v>53</v>
      </c>
      <c r="C12" s="8" t="s">
        <v>75</v>
      </c>
      <c r="D12" s="8" t="s">
        <v>76</v>
      </c>
      <c r="E12" s="8" t="s">
        <v>77</v>
      </c>
      <c r="F12" s="7" t="n">
        <v>242</v>
      </c>
    </row>
    <row r="13" customFormat="false" ht="55.5" hidden="false" customHeight="true" outlineLevel="0" collapsed="false">
      <c r="A13" s="8" t="s">
        <v>78</v>
      </c>
      <c r="B13" s="7" t="s">
        <v>53</v>
      </c>
      <c r="C13" s="8" t="s">
        <v>79</v>
      </c>
      <c r="D13" s="8" t="s">
        <v>63</v>
      </c>
      <c r="E13" s="8" t="s">
        <v>80</v>
      </c>
      <c r="F13" s="7" t="n">
        <v>143</v>
      </c>
    </row>
    <row r="14" customFormat="false" ht="55.5" hidden="false" customHeight="true" outlineLevel="0" collapsed="false">
      <c r="A14" s="8" t="s">
        <v>81</v>
      </c>
      <c r="B14" s="7" t="s">
        <v>53</v>
      </c>
      <c r="C14" s="8" t="s">
        <v>82</v>
      </c>
      <c r="D14" s="8" t="s">
        <v>63</v>
      </c>
      <c r="E14" s="8" t="s">
        <v>83</v>
      </c>
      <c r="F14" s="7" t="n">
        <v>138</v>
      </c>
    </row>
    <row r="15" customFormat="false" ht="55.5" hidden="false" customHeight="true" outlineLevel="0" collapsed="false">
      <c r="A15" s="8" t="s">
        <v>84</v>
      </c>
      <c r="B15" s="7" t="s">
        <v>53</v>
      </c>
      <c r="C15" s="8" t="s">
        <v>85</v>
      </c>
      <c r="D15" s="8" t="s">
        <v>63</v>
      </c>
      <c r="E15" s="8" t="s">
        <v>86</v>
      </c>
      <c r="F15" s="7" t="n">
        <v>8</v>
      </c>
    </row>
    <row r="16" customFormat="false" ht="55.5" hidden="false" customHeight="true" outlineLevel="0" collapsed="false">
      <c r="A16" s="8" t="s">
        <v>87</v>
      </c>
      <c r="B16" s="7" t="s">
        <v>53</v>
      </c>
      <c r="C16" s="8" t="s">
        <v>88</v>
      </c>
      <c r="D16" s="8" t="s">
        <v>63</v>
      </c>
      <c r="E16" s="8" t="s">
        <v>89</v>
      </c>
      <c r="F16" s="7" t="n">
        <v>4</v>
      </c>
    </row>
    <row r="17" customFormat="false" ht="55.5" hidden="false" customHeight="true" outlineLevel="0" collapsed="false">
      <c r="A17" s="13" t="s">
        <v>11</v>
      </c>
      <c r="B17" s="14" t="s">
        <v>90</v>
      </c>
      <c r="C17" s="13" t="s">
        <v>91</v>
      </c>
      <c r="D17" s="13" t="s">
        <v>63</v>
      </c>
      <c r="E17" s="13" t="s">
        <v>92</v>
      </c>
      <c r="F17" s="14" t="n">
        <v>427</v>
      </c>
    </row>
    <row r="18" customFormat="false" ht="55.5" hidden="false" customHeight="true" outlineLevel="0" collapsed="false">
      <c r="A18" s="13" t="s">
        <v>16</v>
      </c>
      <c r="B18" s="14" t="s">
        <v>90</v>
      </c>
      <c r="C18" s="13" t="s">
        <v>93</v>
      </c>
      <c r="D18" s="13" t="s">
        <v>63</v>
      </c>
      <c r="E18" s="13" t="s">
        <v>56</v>
      </c>
      <c r="F18" s="14" t="n">
        <v>310</v>
      </c>
    </row>
    <row r="19" customFormat="false" ht="55.5" hidden="false" customHeight="true" outlineLevel="0" collapsed="false">
      <c r="A19" s="8" t="s">
        <v>94</v>
      </c>
      <c r="B19" s="7" t="s">
        <v>95</v>
      </c>
      <c r="C19" s="8" t="s">
        <v>96</v>
      </c>
      <c r="D19" s="8" t="s">
        <v>97</v>
      </c>
      <c r="E19" s="8" t="s">
        <v>56</v>
      </c>
      <c r="F19" s="7" t="n">
        <v>505</v>
      </c>
    </row>
    <row r="20" customFormat="false" ht="55.5" hidden="false" customHeight="true" outlineLevel="0" collapsed="false">
      <c r="A20" s="8" t="s">
        <v>98</v>
      </c>
      <c r="B20" s="7" t="s">
        <v>99</v>
      </c>
      <c r="C20" s="8" t="s">
        <v>100</v>
      </c>
      <c r="D20" s="8" t="s">
        <v>63</v>
      </c>
      <c r="E20" s="8" t="s">
        <v>101</v>
      </c>
      <c r="F20" s="7" t="n">
        <v>35</v>
      </c>
    </row>
    <row r="21" customFormat="false" ht="55.5" hidden="false" customHeight="true" outlineLevel="0" collapsed="false">
      <c r="A21" s="8" t="s">
        <v>102</v>
      </c>
      <c r="B21" s="7" t="s">
        <v>103</v>
      </c>
      <c r="C21" s="8" t="s">
        <v>104</v>
      </c>
      <c r="D21" s="8" t="s">
        <v>56</v>
      </c>
      <c r="E21" s="8" t="s">
        <v>56</v>
      </c>
      <c r="F21" s="7" t="n">
        <v>0</v>
      </c>
    </row>
    <row r="22" customFormat="false" ht="15" hidden="false" customHeight="false" outlineLevel="0" collapsed="false">
      <c r="A22" s="15" t="s">
        <v>105</v>
      </c>
      <c r="F22" s="16" t="n">
        <f aca="false">SUM(F5:F21)</f>
        <v>3858</v>
      </c>
    </row>
    <row r="24" customFormat="false" ht="15" hidden="false" customHeight="false" outlineLevel="0" collapsed="false">
      <c r="A24" s="2"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66"/>
    <col collapsed="false" customWidth="true" hidden="false" outlineLevel="0" max="4" min="4" style="0" width="42"/>
    <col collapsed="false" customWidth="true" hidden="false" outlineLevel="0" max="5" min="5" style="0" width="14"/>
    <col collapsed="false" customWidth="true" hidden="false" outlineLevel="0" max="6" min="6" style="0" width="26"/>
  </cols>
  <sheetData>
    <row r="1" customFormat="false" ht="21.75" hidden="false" customHeight="true" outlineLevel="0" collapsed="false">
      <c r="A1" s="1" t="s">
        <v>107</v>
      </c>
    </row>
    <row r="2" customFormat="false" ht="15" hidden="false" customHeight="true" outlineLevel="0" collapsed="false">
      <c r="A2" s="2" t="s">
        <v>108</v>
      </c>
    </row>
    <row r="4" customFormat="false" ht="27.75" hidden="false" customHeight="true" outlineLevel="0" collapsed="false">
      <c r="A4" s="6" t="s">
        <v>109</v>
      </c>
      <c r="B4" s="6" t="s">
        <v>110</v>
      </c>
      <c r="C4" s="6" t="s">
        <v>111</v>
      </c>
      <c r="D4" s="6" t="s">
        <v>112</v>
      </c>
      <c r="E4" s="6" t="s">
        <v>113</v>
      </c>
      <c r="F4" s="6" t="s">
        <v>114</v>
      </c>
    </row>
    <row r="5" customFormat="false" ht="61.5" hidden="false" customHeight="true" outlineLevel="0" collapsed="false">
      <c r="A5" s="7" t="n">
        <v>1</v>
      </c>
      <c r="B5" s="7" t="s">
        <v>115</v>
      </c>
      <c r="C5" s="8" t="s">
        <v>116</v>
      </c>
      <c r="D5" s="8" t="s">
        <v>117</v>
      </c>
      <c r="E5" s="7" t="s">
        <v>118</v>
      </c>
      <c r="F5" s="8" t="s">
        <v>119</v>
      </c>
    </row>
    <row r="6" customFormat="false" ht="61.5" hidden="false" customHeight="true" outlineLevel="0" collapsed="false">
      <c r="A6" s="7" t="n">
        <v>2</v>
      </c>
      <c r="B6" s="7" t="s">
        <v>120</v>
      </c>
      <c r="C6" s="8" t="s">
        <v>121</v>
      </c>
      <c r="D6" s="8" t="s">
        <v>122</v>
      </c>
      <c r="E6" s="7" t="s">
        <v>123</v>
      </c>
      <c r="F6" s="8" t="s">
        <v>124</v>
      </c>
    </row>
    <row r="7" customFormat="false" ht="61.5" hidden="false" customHeight="true" outlineLevel="0" collapsed="false">
      <c r="A7" s="7" t="n">
        <v>3</v>
      </c>
      <c r="B7" s="7" t="s">
        <v>125</v>
      </c>
      <c r="C7" s="8" t="s">
        <v>126</v>
      </c>
      <c r="D7" s="8" t="s">
        <v>127</v>
      </c>
      <c r="E7" s="7" t="s">
        <v>123</v>
      </c>
      <c r="F7" s="8" t="s">
        <v>128</v>
      </c>
    </row>
    <row r="8" customFormat="false" ht="61.5" hidden="false" customHeight="true" outlineLevel="0" collapsed="false">
      <c r="A8" s="7" t="n">
        <v>4</v>
      </c>
      <c r="B8" s="7" t="s">
        <v>129</v>
      </c>
      <c r="C8" s="8" t="s">
        <v>130</v>
      </c>
      <c r="D8" s="8" t="s">
        <v>127</v>
      </c>
      <c r="E8" s="7" t="s">
        <v>123</v>
      </c>
      <c r="F8" s="8" t="s">
        <v>131</v>
      </c>
    </row>
    <row r="9" customFormat="false" ht="61.5" hidden="false" customHeight="true" outlineLevel="0" collapsed="false">
      <c r="A9" s="7" t="n">
        <v>5</v>
      </c>
      <c r="B9" s="7" t="s">
        <v>132</v>
      </c>
      <c r="C9" s="8" t="s">
        <v>133</v>
      </c>
      <c r="D9" s="8" t="s">
        <v>134</v>
      </c>
      <c r="E9" s="7" t="s">
        <v>123</v>
      </c>
      <c r="F9" s="8" t="s">
        <v>135</v>
      </c>
    </row>
    <row r="10" customFormat="false" ht="61.5" hidden="false" customHeight="true" outlineLevel="0" collapsed="false">
      <c r="A10" s="7" t="n">
        <v>6</v>
      </c>
      <c r="B10" s="7" t="s">
        <v>136</v>
      </c>
      <c r="C10" s="8" t="s">
        <v>137</v>
      </c>
      <c r="D10" s="8" t="s">
        <v>138</v>
      </c>
      <c r="E10" s="7" t="s">
        <v>123</v>
      </c>
      <c r="F10" s="8" t="s">
        <v>139</v>
      </c>
    </row>
    <row r="11" customFormat="false" ht="61.5" hidden="false" customHeight="true" outlineLevel="0" collapsed="false">
      <c r="A11" s="7" t="n">
        <v>7</v>
      </c>
      <c r="B11" s="7" t="s">
        <v>140</v>
      </c>
      <c r="C11" s="8" t="s">
        <v>141</v>
      </c>
      <c r="D11" s="8" t="s">
        <v>142</v>
      </c>
      <c r="E11" s="7" t="s">
        <v>123</v>
      </c>
      <c r="F11" s="8" t="s">
        <v>143</v>
      </c>
    </row>
    <row r="12" customFormat="false" ht="61.5" hidden="false" customHeight="true" outlineLevel="0" collapsed="false">
      <c r="A12" s="7" t="n">
        <v>8</v>
      </c>
      <c r="B12" s="7" t="s">
        <v>144</v>
      </c>
      <c r="C12" s="8" t="s">
        <v>145</v>
      </c>
      <c r="D12" s="8" t="s">
        <v>138</v>
      </c>
      <c r="E12" s="7" t="s">
        <v>123</v>
      </c>
      <c r="F12" s="8" t="s">
        <v>146</v>
      </c>
    </row>
    <row r="13" customFormat="false" ht="61.5" hidden="false" customHeight="true" outlineLevel="0" collapsed="false">
      <c r="A13" s="7" t="n">
        <v>9</v>
      </c>
      <c r="B13" s="7" t="s">
        <v>147</v>
      </c>
      <c r="C13" s="8" t="s">
        <v>148</v>
      </c>
      <c r="D13" s="8" t="s">
        <v>149</v>
      </c>
      <c r="E13" s="7" t="s">
        <v>123</v>
      </c>
      <c r="F13" s="8" t="s">
        <v>150</v>
      </c>
    </row>
    <row r="14" customFormat="false" ht="61.5" hidden="false" customHeight="true" outlineLevel="0" collapsed="false">
      <c r="A14" s="7" t="n">
        <v>10</v>
      </c>
      <c r="B14" s="7" t="s">
        <v>151</v>
      </c>
      <c r="C14" s="8" t="s">
        <v>152</v>
      </c>
      <c r="D14" s="8" t="s">
        <v>153</v>
      </c>
      <c r="E14" s="7" t="s">
        <v>123</v>
      </c>
      <c r="F14" s="8" t="s">
        <v>154</v>
      </c>
    </row>
    <row r="17" customFormat="false" ht="39.75" hidden="false" customHeight="true" outlineLevel="0" collapsed="false">
      <c r="A17" s="17" t="s">
        <v>155</v>
      </c>
      <c r="B17" s="17"/>
      <c r="C17" s="17"/>
      <c r="D17" s="17"/>
      <c r="E17" s="17"/>
      <c r="F17" s="17"/>
    </row>
  </sheetData>
  <mergeCells count="1">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0"/>
    <col collapsed="false" customWidth="true" hidden="false" outlineLevel="0" max="3" min="3" style="0" width="74"/>
    <col collapsed="false" customWidth="true" hidden="false" outlineLevel="0" max="4" min="4" style="0" width="14"/>
  </cols>
  <sheetData>
    <row r="1" customFormat="false" ht="21.75" hidden="false" customHeight="true" outlineLevel="0" collapsed="false">
      <c r="A1" s="1" t="s">
        <v>156</v>
      </c>
    </row>
    <row r="2" customFormat="false" ht="15" hidden="false" customHeight="true" outlineLevel="0" collapsed="false">
      <c r="A2" s="2" t="s">
        <v>157</v>
      </c>
    </row>
    <row r="4" customFormat="false" ht="27.75" hidden="false" customHeight="true" outlineLevel="0" collapsed="false">
      <c r="A4" s="6" t="s">
        <v>158</v>
      </c>
      <c r="B4" s="6" t="s">
        <v>159</v>
      </c>
      <c r="C4" s="6" t="s">
        <v>44</v>
      </c>
      <c r="D4" s="6" t="s">
        <v>160</v>
      </c>
    </row>
    <row r="5" customFormat="false" ht="42" hidden="false" customHeight="true" outlineLevel="0" collapsed="false">
      <c r="A5" s="7" t="s">
        <v>161</v>
      </c>
      <c r="B5" s="7" t="s">
        <v>162</v>
      </c>
      <c r="C5" s="8" t="s">
        <v>163</v>
      </c>
      <c r="D5" s="7" t="s">
        <v>118</v>
      </c>
    </row>
    <row r="6" customFormat="false" ht="42" hidden="false" customHeight="true" outlineLevel="0" collapsed="false">
      <c r="A6" s="7" t="s">
        <v>161</v>
      </c>
      <c r="B6" s="7" t="s">
        <v>164</v>
      </c>
      <c r="C6" s="8" t="s">
        <v>165</v>
      </c>
      <c r="D6" s="7" t="s">
        <v>118</v>
      </c>
    </row>
    <row r="7" customFormat="false" ht="42" hidden="false" customHeight="true" outlineLevel="0" collapsed="false">
      <c r="A7" s="7" t="s">
        <v>161</v>
      </c>
      <c r="B7" s="7" t="s">
        <v>166</v>
      </c>
      <c r="C7" s="8" t="s">
        <v>167</v>
      </c>
      <c r="D7" s="7" t="s">
        <v>118</v>
      </c>
    </row>
    <row r="8" customFormat="false" ht="42" hidden="false" customHeight="true" outlineLevel="0" collapsed="false">
      <c r="A8" s="7" t="s">
        <v>161</v>
      </c>
      <c r="B8" s="7" t="s">
        <v>168</v>
      </c>
      <c r="C8" s="8" t="s">
        <v>169</v>
      </c>
      <c r="D8" s="7" t="s">
        <v>118</v>
      </c>
    </row>
    <row r="9" customFormat="false" ht="42" hidden="false" customHeight="true" outlineLevel="0" collapsed="false">
      <c r="A9" s="7" t="s">
        <v>161</v>
      </c>
      <c r="B9" s="7" t="s">
        <v>170</v>
      </c>
      <c r="C9" s="8" t="s">
        <v>171</v>
      </c>
      <c r="D9" s="7" t="s">
        <v>172</v>
      </c>
    </row>
    <row r="10" customFormat="false" ht="42" hidden="false" customHeight="true" outlineLevel="0" collapsed="false">
      <c r="A10" s="7" t="s">
        <v>173</v>
      </c>
      <c r="B10" s="7" t="s">
        <v>174</v>
      </c>
      <c r="C10" s="8" t="s">
        <v>175</v>
      </c>
      <c r="D10" s="7" t="s">
        <v>123</v>
      </c>
    </row>
    <row r="11" customFormat="false" ht="42" hidden="false" customHeight="true" outlineLevel="0" collapsed="false">
      <c r="A11" s="7" t="s">
        <v>173</v>
      </c>
      <c r="B11" s="7" t="s">
        <v>176</v>
      </c>
      <c r="C11" s="8" t="s">
        <v>177</v>
      </c>
      <c r="D11" s="7" t="s">
        <v>172</v>
      </c>
    </row>
    <row r="12" customFormat="false" ht="42" hidden="false" customHeight="true" outlineLevel="0" collapsed="false">
      <c r="A12" s="7" t="s">
        <v>173</v>
      </c>
      <c r="B12" s="7" t="s">
        <v>178</v>
      </c>
      <c r="C12" s="8" t="s">
        <v>179</v>
      </c>
      <c r="D12" s="7" t="s">
        <v>180</v>
      </c>
    </row>
    <row r="13" customFormat="false" ht="42" hidden="false" customHeight="true" outlineLevel="0" collapsed="false">
      <c r="A13" s="7" t="s">
        <v>181</v>
      </c>
      <c r="B13" s="7" t="s">
        <v>182</v>
      </c>
      <c r="C13" s="8" t="s">
        <v>183</v>
      </c>
      <c r="D13" s="7" t="s">
        <v>184</v>
      </c>
    </row>
    <row r="14" customFormat="false" ht="42" hidden="false" customHeight="true" outlineLevel="0" collapsed="false">
      <c r="A14" s="7" t="s">
        <v>181</v>
      </c>
      <c r="B14" s="7" t="s">
        <v>185</v>
      </c>
      <c r="C14" s="8" t="s">
        <v>186</v>
      </c>
      <c r="D14" s="7" t="s">
        <v>187</v>
      </c>
    </row>
    <row r="15" customFormat="false" ht="42" hidden="false" customHeight="true" outlineLevel="0" collapsed="false">
      <c r="A15" s="7" t="s">
        <v>181</v>
      </c>
      <c r="B15" s="7" t="s">
        <v>188</v>
      </c>
      <c r="C15" s="8" t="s">
        <v>189</v>
      </c>
      <c r="D15" s="7" t="s">
        <v>187</v>
      </c>
    </row>
    <row r="16" customFormat="false" ht="42" hidden="false" customHeight="true" outlineLevel="0" collapsed="false">
      <c r="A16" s="7" t="s">
        <v>181</v>
      </c>
      <c r="B16" s="7" t="s">
        <v>190</v>
      </c>
      <c r="C16" s="8" t="s">
        <v>191</v>
      </c>
      <c r="D16" s="7" t="s">
        <v>187</v>
      </c>
    </row>
    <row r="17" customFormat="false" ht="42" hidden="false" customHeight="true" outlineLevel="0" collapsed="false">
      <c r="A17" s="7" t="s">
        <v>181</v>
      </c>
      <c r="B17" s="7" t="s">
        <v>192</v>
      </c>
      <c r="C17" s="8" t="s">
        <v>193</v>
      </c>
      <c r="D17" s="7" t="s">
        <v>187</v>
      </c>
    </row>
    <row r="18" customFormat="false" ht="42" hidden="false" customHeight="true" outlineLevel="0" collapsed="false">
      <c r="A18" s="7" t="s">
        <v>194</v>
      </c>
      <c r="B18" s="7" t="s">
        <v>195</v>
      </c>
      <c r="C18" s="8" t="s">
        <v>196</v>
      </c>
      <c r="D18" s="7" t="s">
        <v>187</v>
      </c>
    </row>
    <row r="19" customFormat="false" ht="42" hidden="false" customHeight="true" outlineLevel="0" collapsed="false">
      <c r="A19" s="7" t="s">
        <v>197</v>
      </c>
      <c r="B19" s="7" t="s">
        <v>198</v>
      </c>
      <c r="C19" s="8" t="s">
        <v>199</v>
      </c>
      <c r="D19" s="7" t="s">
        <v>200</v>
      </c>
    </row>
    <row r="20" customFormat="false" ht="42" hidden="false" customHeight="true" outlineLevel="0" collapsed="false">
      <c r="A20" s="7" t="s">
        <v>60</v>
      </c>
      <c r="B20" s="7" t="s">
        <v>201</v>
      </c>
      <c r="C20" s="8" t="s">
        <v>202</v>
      </c>
      <c r="D20" s="7" t="s">
        <v>203</v>
      </c>
    </row>
    <row r="21" customFormat="false" ht="42" hidden="false" customHeight="true" outlineLevel="0" collapsed="false">
      <c r="A21" s="7" t="s">
        <v>60</v>
      </c>
      <c r="B21" s="7" t="s">
        <v>204</v>
      </c>
      <c r="C21" s="8" t="s">
        <v>205</v>
      </c>
      <c r="D21" s="7"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60"/>
    <col collapsed="false" customWidth="true" hidden="false" outlineLevel="0" max="4" min="4" style="0" width="58"/>
  </cols>
  <sheetData>
    <row r="1" customFormat="false" ht="21.75" hidden="false" customHeight="true" outlineLevel="0" collapsed="false">
      <c r="A1" s="1" t="s">
        <v>39</v>
      </c>
    </row>
    <row r="2" customFormat="false" ht="15" hidden="false" customHeight="true" outlineLevel="0" collapsed="false">
      <c r="A2" s="2" t="s">
        <v>207</v>
      </c>
    </row>
    <row r="4" customFormat="false" ht="27.75" hidden="false" customHeight="true" outlineLevel="0" collapsed="false">
      <c r="A4" s="6" t="s">
        <v>208</v>
      </c>
      <c r="B4" s="6" t="s">
        <v>209</v>
      </c>
      <c r="C4" s="6" t="s">
        <v>210</v>
      </c>
      <c r="D4" s="6" t="s">
        <v>211</v>
      </c>
    </row>
    <row r="5" customFormat="false" ht="43.5" hidden="false" customHeight="true" outlineLevel="0" collapsed="false">
      <c r="A5" s="7" t="s">
        <v>212</v>
      </c>
      <c r="B5" s="7" t="s">
        <v>213</v>
      </c>
      <c r="C5" s="8" t="s">
        <v>214</v>
      </c>
      <c r="D5" s="8" t="s">
        <v>215</v>
      </c>
    </row>
    <row r="6" customFormat="false" ht="43.5" hidden="false" customHeight="true" outlineLevel="0" collapsed="false">
      <c r="A6" s="7" t="s">
        <v>216</v>
      </c>
      <c r="B6" s="7" t="s">
        <v>217</v>
      </c>
      <c r="C6" s="8" t="s">
        <v>218</v>
      </c>
      <c r="D6" s="8" t="s">
        <v>219</v>
      </c>
    </row>
    <row r="7" customFormat="false" ht="43.5" hidden="false" customHeight="true" outlineLevel="0" collapsed="false">
      <c r="A7" s="7" t="s">
        <v>220</v>
      </c>
      <c r="B7" s="7" t="s">
        <v>213</v>
      </c>
      <c r="C7" s="8" t="s">
        <v>221</v>
      </c>
      <c r="D7" s="8" t="s">
        <v>222</v>
      </c>
    </row>
    <row r="8" customFormat="false" ht="43.5" hidden="false" customHeight="true" outlineLevel="0" collapsed="false">
      <c r="A8" s="7" t="s">
        <v>223</v>
      </c>
      <c r="B8" s="7" t="s">
        <v>224</v>
      </c>
      <c r="C8" s="8" t="s">
        <v>225</v>
      </c>
      <c r="D8" s="8" t="s">
        <v>226</v>
      </c>
    </row>
    <row r="9" customFormat="false" ht="43.5" hidden="false" customHeight="true" outlineLevel="0" collapsed="false">
      <c r="A9" s="7" t="s">
        <v>227</v>
      </c>
      <c r="B9" s="7" t="s">
        <v>213</v>
      </c>
      <c r="C9" s="8" t="s">
        <v>228</v>
      </c>
      <c r="D9" s="8" t="s">
        <v>229</v>
      </c>
    </row>
    <row r="10" customFormat="false" ht="43.5" hidden="false" customHeight="true" outlineLevel="0" collapsed="false">
      <c r="A10" s="7" t="s">
        <v>230</v>
      </c>
      <c r="B10" s="7" t="s">
        <v>231</v>
      </c>
      <c r="C10" s="8" t="s">
        <v>232</v>
      </c>
      <c r="D10" s="8" t="s">
        <v>233</v>
      </c>
    </row>
    <row r="11" customFormat="false" ht="43.5" hidden="false" customHeight="true" outlineLevel="0" collapsed="false">
      <c r="A11" s="7" t="s">
        <v>234</v>
      </c>
      <c r="B11" s="7" t="s">
        <v>235</v>
      </c>
      <c r="C11" s="8" t="s">
        <v>236</v>
      </c>
      <c r="D11" s="8" t="s">
        <v>237</v>
      </c>
    </row>
    <row r="12" customFormat="false" ht="43.5" hidden="false" customHeight="true" outlineLevel="0" collapsed="false">
      <c r="A12" s="7" t="s">
        <v>238</v>
      </c>
      <c r="B12" s="7" t="s">
        <v>239</v>
      </c>
      <c r="C12" s="8" t="s">
        <v>240</v>
      </c>
      <c r="D12" s="8" t="s">
        <v>241</v>
      </c>
    </row>
    <row r="13" customFormat="false" ht="43.5" hidden="false" customHeight="true" outlineLevel="0" collapsed="false">
      <c r="A13" s="7" t="s">
        <v>242</v>
      </c>
      <c r="B13" s="7" t="s">
        <v>243</v>
      </c>
      <c r="C13" s="8" t="s">
        <v>244</v>
      </c>
      <c r="D13" s="8" t="s">
        <v>245</v>
      </c>
    </row>
    <row r="14" customFormat="false" ht="43.5" hidden="false" customHeight="true" outlineLevel="0" collapsed="false">
      <c r="A14" s="7" t="s">
        <v>246</v>
      </c>
      <c r="B14" s="7" t="s">
        <v>247</v>
      </c>
      <c r="C14" s="8" t="s">
        <v>248</v>
      </c>
      <c r="D14" s="8" t="s">
        <v>249</v>
      </c>
    </row>
    <row r="15" customFormat="false" ht="43.5" hidden="false" customHeight="true" outlineLevel="0" collapsed="false">
      <c r="A15" s="7" t="s">
        <v>250</v>
      </c>
      <c r="B15" s="7" t="s">
        <v>251</v>
      </c>
      <c r="C15" s="8" t="s">
        <v>252</v>
      </c>
      <c r="D15" s="8" t="s">
        <v>253</v>
      </c>
    </row>
    <row r="16" customFormat="false" ht="43.5" hidden="false" customHeight="true" outlineLevel="0" collapsed="false">
      <c r="A16" s="7" t="s">
        <v>254</v>
      </c>
      <c r="B16" s="7" t="s">
        <v>255</v>
      </c>
      <c r="C16" s="8" t="s">
        <v>256</v>
      </c>
      <c r="D16" s="8" t="s">
        <v>253</v>
      </c>
    </row>
    <row r="17" customFormat="false" ht="43.5" hidden="false" customHeight="true" outlineLevel="0" collapsed="false">
      <c r="A17" s="7" t="s">
        <v>257</v>
      </c>
      <c r="B17" s="7" t="s">
        <v>258</v>
      </c>
      <c r="C17" s="8" t="s">
        <v>259</v>
      </c>
      <c r="D17" s="8" t="s">
        <v>260</v>
      </c>
    </row>
    <row r="18" customFormat="false" ht="43.5" hidden="false" customHeight="true" outlineLevel="0" collapsed="false">
      <c r="A18" s="7" t="s">
        <v>261</v>
      </c>
      <c r="B18" s="7" t="s">
        <v>262</v>
      </c>
      <c r="C18" s="8" t="s">
        <v>263</v>
      </c>
      <c r="D18" s="8" t="s">
        <v>253</v>
      </c>
    </row>
    <row r="19" customFormat="false" ht="43.5" hidden="false" customHeight="true" outlineLevel="0" collapsed="false">
      <c r="A19" s="7" t="s">
        <v>264</v>
      </c>
      <c r="B19" s="7" t="s">
        <v>265</v>
      </c>
      <c r="C19" s="8" t="s">
        <v>266</v>
      </c>
      <c r="D19" s="8" t="s">
        <v>253</v>
      </c>
    </row>
    <row r="20" customFormat="false" ht="43.5" hidden="false" customHeight="true" outlineLevel="0" collapsed="false">
      <c r="A20" s="7" t="s">
        <v>267</v>
      </c>
      <c r="B20" s="7" t="s">
        <v>268</v>
      </c>
      <c r="C20" s="8" t="s">
        <v>269</v>
      </c>
      <c r="D20" s="8" t="s">
        <v>253</v>
      </c>
    </row>
    <row r="21" customFormat="false" ht="43.5" hidden="false" customHeight="true" outlineLevel="0" collapsed="false">
      <c r="A21" s="7" t="s">
        <v>270</v>
      </c>
      <c r="B21" s="7" t="s">
        <v>271</v>
      </c>
      <c r="C21" s="8" t="s">
        <v>272</v>
      </c>
      <c r="D21" s="8" t="s">
        <v>253</v>
      </c>
    </row>
    <row r="22" customFormat="false" ht="43.5" hidden="false" customHeight="true" outlineLevel="0" collapsed="false">
      <c r="A22" s="7" t="s">
        <v>273</v>
      </c>
      <c r="B22" s="7" t="s">
        <v>274</v>
      </c>
      <c r="C22" s="8" t="s">
        <v>275</v>
      </c>
      <c r="D22" s="8" t="s">
        <v>253</v>
      </c>
    </row>
    <row r="23" customFormat="false" ht="43.5" hidden="false" customHeight="true" outlineLevel="0" collapsed="false">
      <c r="A23" s="7" t="s">
        <v>276</v>
      </c>
      <c r="B23" s="7" t="s">
        <v>277</v>
      </c>
      <c r="C23" s="8" t="s">
        <v>278</v>
      </c>
      <c r="D23" s="8" t="s">
        <v>279</v>
      </c>
    </row>
    <row r="24" customFormat="false" ht="43.5" hidden="false" customHeight="true" outlineLevel="0" collapsed="false">
      <c r="A24" s="7" t="s">
        <v>280</v>
      </c>
      <c r="B24" s="7" t="s">
        <v>281</v>
      </c>
      <c r="C24" s="8" t="s">
        <v>282</v>
      </c>
      <c r="D24" s="8" t="s">
        <v>283</v>
      </c>
    </row>
    <row r="25" customFormat="false" ht="43.5" hidden="false" customHeight="true" outlineLevel="0" collapsed="false">
      <c r="A25" s="7" t="s">
        <v>284</v>
      </c>
      <c r="B25" s="7" t="s">
        <v>285</v>
      </c>
      <c r="C25" s="8" t="s">
        <v>286</v>
      </c>
      <c r="D25" s="8" t="s">
        <v>287</v>
      </c>
    </row>
    <row r="26" customFormat="false" ht="43.5" hidden="false" customHeight="true" outlineLevel="0" collapsed="false">
      <c r="A26" s="7" t="s">
        <v>288</v>
      </c>
      <c r="B26" s="7" t="s">
        <v>289</v>
      </c>
      <c r="C26" s="8" t="s">
        <v>290</v>
      </c>
      <c r="D26" s="8" t="s">
        <v>287</v>
      </c>
    </row>
    <row r="27" customFormat="false" ht="43.5" hidden="false" customHeight="true" outlineLevel="0" collapsed="false">
      <c r="A27" s="7" t="s">
        <v>291</v>
      </c>
      <c r="B27" s="7" t="s">
        <v>292</v>
      </c>
      <c r="C27" s="8" t="s">
        <v>293</v>
      </c>
      <c r="D27" s="8" t="s">
        <v>294</v>
      </c>
    </row>
    <row r="28" customFormat="false" ht="43.5" hidden="false" customHeight="true" outlineLevel="0" collapsed="false">
      <c r="A28" s="7" t="s">
        <v>295</v>
      </c>
      <c r="B28" s="7" t="s">
        <v>274</v>
      </c>
      <c r="C28" s="8" t="s">
        <v>296</v>
      </c>
      <c r="D28" s="8" t="s">
        <v>253</v>
      </c>
    </row>
    <row r="29" customFormat="false" ht="43.5" hidden="false" customHeight="true" outlineLevel="0" collapsed="false">
      <c r="A29" s="7" t="s">
        <v>297</v>
      </c>
      <c r="B29" s="7" t="s">
        <v>298</v>
      </c>
      <c r="C29" s="8" t="s">
        <v>299</v>
      </c>
      <c r="D29" s="8" t="s">
        <v>300</v>
      </c>
    </row>
    <row r="30" customFormat="false" ht="43.5" hidden="false" customHeight="true" outlineLevel="0" collapsed="false">
      <c r="A30" s="7" t="s">
        <v>301</v>
      </c>
      <c r="B30" s="7" t="s">
        <v>302</v>
      </c>
      <c r="C30" s="8" t="s">
        <v>303</v>
      </c>
      <c r="D30" s="8" t="s">
        <v>300</v>
      </c>
    </row>
    <row r="31" customFormat="false" ht="43.5" hidden="false" customHeight="true" outlineLevel="0" collapsed="false">
      <c r="A31" s="7" t="s">
        <v>304</v>
      </c>
      <c r="B31" s="7" t="s">
        <v>305</v>
      </c>
      <c r="C31" s="8" t="s">
        <v>306</v>
      </c>
      <c r="D31" s="8" t="s">
        <v>300</v>
      </c>
    </row>
    <row r="32" customFormat="false" ht="43.5" hidden="false" customHeight="true" outlineLevel="0" collapsed="false">
      <c r="A32" s="7" t="s">
        <v>307</v>
      </c>
      <c r="B32" s="7" t="s">
        <v>308</v>
      </c>
      <c r="C32" s="8" t="s">
        <v>309</v>
      </c>
      <c r="D32" s="8" t="s">
        <v>310</v>
      </c>
    </row>
    <row r="33" customFormat="false" ht="43.5" hidden="false" customHeight="true" outlineLevel="0" collapsed="false">
      <c r="A33" s="7" t="s">
        <v>311</v>
      </c>
      <c r="B33" s="7" t="s">
        <v>312</v>
      </c>
      <c r="C33" s="8" t="s">
        <v>313</v>
      </c>
      <c r="D33" s="8" t="s">
        <v>314</v>
      </c>
    </row>
    <row r="34" customFormat="false" ht="43.5" hidden="false" customHeight="true" outlineLevel="0" collapsed="false">
      <c r="A34" s="7" t="s">
        <v>315</v>
      </c>
      <c r="B34" s="7" t="s">
        <v>308</v>
      </c>
      <c r="C34" s="8" t="s">
        <v>316</v>
      </c>
      <c r="D34" s="8" t="s">
        <v>317</v>
      </c>
    </row>
    <row r="35" customFormat="false" ht="43.5" hidden="false" customHeight="true" outlineLevel="0" collapsed="false">
      <c r="A35" s="7" t="s">
        <v>318</v>
      </c>
      <c r="B35" s="7" t="s">
        <v>319</v>
      </c>
      <c r="C35" s="8" t="s">
        <v>320</v>
      </c>
      <c r="D35" s="8" t="s">
        <v>321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2026-07-27T20:23:10Z</dcterms:created>
  <dc:creator>openpyxl</dc:creator>
  <dc:description/>
  <dc:language>en-US</dc:language>
  <cp:lastModifiedBy/>
  <dcterms:modified xsi:type="dcterms:W3CDTF">2026-07-27T20:23:10Z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